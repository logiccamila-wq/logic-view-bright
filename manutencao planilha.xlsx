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B0358D4-D599-4A7B-AC7F-00F3FE992431}" xr6:coauthVersionLast="47" xr6:coauthVersionMax="47" xr10:uidLastSave="{00000000-0000-0000-0000-000000000000}"/>
  <bookViews>
    <workbookView xWindow="-120" yWindow="-120" windowWidth="20730" windowHeight="11160" activeTab="4" xr2:uid="{D774D3F3-3211-4BD3-B13F-0EE54EA34A1A}"/>
  </bookViews>
  <sheets>
    <sheet name="ago" sheetId="9" r:id="rId1"/>
    <sheet name="SET" sheetId="10" r:id="rId2"/>
    <sheet name="OUT" sheetId="12" r:id="rId3"/>
    <sheet name="NOV" sheetId="14" r:id="rId4"/>
    <sheet name="DEZ" sheetId="15" r:id="rId5"/>
  </sheets>
  <definedNames>
    <definedName name="_xlnm._FilterDatabase" localSheetId="0" hidden="1">ago!$A$27:$J$114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5" l="1"/>
  <c r="F111" i="15"/>
  <c r="G27" i="14" l="1"/>
  <c r="G98" i="14"/>
  <c r="G118" i="12"/>
  <c r="G31" i="12" l="1"/>
  <c r="F120" i="10" l="1"/>
  <c r="F25" i="10"/>
  <c r="F26" i="9"/>
  <c r="F117" i="9"/>
</calcChain>
</file>

<file path=xl/sharedStrings.xml><?xml version="1.0" encoding="utf-8"?>
<sst xmlns="http://schemas.openxmlformats.org/spreadsheetml/2006/main" count="3994" uniqueCount="454">
  <si>
    <t>ITEM</t>
  </si>
  <si>
    <t>DATA DE PAGTO</t>
  </si>
  <si>
    <t>DESCRIÇÃO</t>
  </si>
  <si>
    <t>VALOR PAGO</t>
  </si>
  <si>
    <t>SITUAÇÃO</t>
  </si>
  <si>
    <t>BANCO</t>
  </si>
  <si>
    <t>FROTA</t>
  </si>
  <si>
    <t>PAGO</t>
  </si>
  <si>
    <t>TOTAL</t>
  </si>
  <si>
    <t>PFB2A13</t>
  </si>
  <si>
    <t>SNO6F99</t>
  </si>
  <si>
    <t>QQN8J78</t>
  </si>
  <si>
    <t>RCP3F78</t>
  </si>
  <si>
    <t>QIZ3E10</t>
  </si>
  <si>
    <t>SOC0G05</t>
  </si>
  <si>
    <t>AQUISIÇÃO/RECAPAGENS PNEUS</t>
  </si>
  <si>
    <t>KLU1I80</t>
  </si>
  <si>
    <t>MANUTENÇÃO</t>
  </si>
  <si>
    <t>SERVIÇOS ELÉTRICOS FROTA 03 - PIX ELIAS ETIEL</t>
  </si>
  <si>
    <t>BRADESCO</t>
  </si>
  <si>
    <t>*</t>
  </si>
  <si>
    <t>BANCO DO BRASIL</t>
  </si>
  <si>
    <t>PES6F45</t>
  </si>
  <si>
    <t>ITAÚ</t>
  </si>
  <si>
    <t>EGJ4B71</t>
  </si>
  <si>
    <t xml:space="preserve">REDIESEL FROTA 03 </t>
  </si>
  <si>
    <t>QHM8J69</t>
  </si>
  <si>
    <t>REDIESEL FROTA 03</t>
  </si>
  <si>
    <t>BWY5G42</t>
  </si>
  <si>
    <t>REDIESEL FROTA 04 1/4</t>
  </si>
  <si>
    <t>PES6F45/PFB2A13</t>
  </si>
  <si>
    <t>CENTRO DE CUSTO</t>
  </si>
  <si>
    <t>PLANO DE CONTAS</t>
  </si>
  <si>
    <t>INVESTIMENTO</t>
  </si>
  <si>
    <t>AQUISIÇÃO PNEUS</t>
  </si>
  <si>
    <t>BORRACHARIA</t>
  </si>
  <si>
    <t xml:space="preserve">DESP. PRODUCAO   </t>
  </si>
  <si>
    <t>PEÇA DE MANUTENÇÃO E CONSERV</t>
  </si>
  <si>
    <t xml:space="preserve">MANUT. VEICULOS   </t>
  </si>
  <si>
    <t>RECAPAGENS</t>
  </si>
  <si>
    <t xml:space="preserve">INSPEÇÃO </t>
  </si>
  <si>
    <t xml:space="preserve">MANUTENÇÃO DE EQUIPAMENTOS  </t>
  </si>
  <si>
    <t>SOC5G42</t>
  </si>
  <si>
    <t>EXN3I17</t>
  </si>
  <si>
    <t>QHM8J69/GGJ8E57</t>
  </si>
  <si>
    <t>KJV2E27</t>
  </si>
  <si>
    <t>BNB</t>
  </si>
  <si>
    <t>REDIESEL</t>
  </si>
  <si>
    <t>REDIESEL FROTA 03 3/4</t>
  </si>
  <si>
    <t>REVISÃO FROTA 07 2/3</t>
  </si>
  <si>
    <t>FLS2F62</t>
  </si>
  <si>
    <t>GGJ8E57</t>
  </si>
  <si>
    <t>EQUIPAMENTO DE SEGURANÇA</t>
  </si>
  <si>
    <t>BORRACHARIA FROTAS EM GERAL</t>
  </si>
  <si>
    <t>REDIESEL FROTA 06 2/4</t>
  </si>
  <si>
    <t>REDIESEL FROTA 03 4/4</t>
  </si>
  <si>
    <t>REVISÃO FROTA 07 3/3</t>
  </si>
  <si>
    <t>EGJ4B71/QHM8J69</t>
  </si>
  <si>
    <t>EJG4B71</t>
  </si>
  <si>
    <t>REDIESEL FROTA 06 3/4</t>
  </si>
  <si>
    <t>REVISÃO FROTA 07 1/3</t>
  </si>
  <si>
    <t>MANUT. VEÍCULOS</t>
  </si>
  <si>
    <t>BRADESCO PF</t>
  </si>
  <si>
    <t>REDIESEL WANDERLÉIA 01</t>
  </si>
  <si>
    <t>REDIESEL FROTA 09 1/3</t>
  </si>
  <si>
    <t>REDIESEL FROTA 08 1/4</t>
  </si>
  <si>
    <t>REDIESEL FROTA 09 1/1</t>
  </si>
  <si>
    <t>PFB2A13/QHM8J69</t>
  </si>
  <si>
    <t>REDIESEL FROTA 02 1/1</t>
  </si>
  <si>
    <t>AGREGADO</t>
  </si>
  <si>
    <t>PEÇAS PESADAS RECAPAGENS FROTAS EM GERAL 1/4</t>
  </si>
  <si>
    <t>ROMUALDO</t>
  </si>
  <si>
    <t>REDIESEL FROTA 09</t>
  </si>
  <si>
    <t>REDIESEL FROTA 09 2/3</t>
  </si>
  <si>
    <t>REDIESEL WANDERLÉIA 01 2/4</t>
  </si>
  <si>
    <t>REDIESEL FROTA 08 2/4</t>
  </si>
  <si>
    <t>PEL9J12</t>
  </si>
  <si>
    <t>NA</t>
  </si>
  <si>
    <t>FROTINHA</t>
  </si>
  <si>
    <t>PEÇAS PESADAS RECAPAGENS FROTAS EM GERAL 2/4</t>
  </si>
  <si>
    <t>PFB2A13/EXN3I17</t>
  </si>
  <si>
    <t>REDIESEL CARRETA FIBRA 03 3/4</t>
  </si>
  <si>
    <t>REDIESEL FROTA 09 3/3</t>
  </si>
  <si>
    <t>REDIESEL WANDÉRLEIAS 01 E 03 1/4</t>
  </si>
  <si>
    <t>QHM8J69/EXN3I17</t>
  </si>
  <si>
    <t>REDIESEL FROTA 08 3/4</t>
  </si>
  <si>
    <t>DESPESA OPERACIONAL</t>
  </si>
  <si>
    <t xml:space="preserve">* </t>
  </si>
  <si>
    <t xml:space="preserve">REVISÃO </t>
  </si>
  <si>
    <t>SERVIÇO DE FREIOS FROTA 03 - PIX DANIEL R SILVA</t>
  </si>
  <si>
    <t>GERAL</t>
  </si>
  <si>
    <t>R S MANGUEIRAS - COMPRA DE CONEXÃO</t>
  </si>
  <si>
    <t>COMPRA DE COLA - DISMACON</t>
  </si>
  <si>
    <t>BORRACHARIA FROTA 09 - PIX JOSÉ REGINALDO SILVA</t>
  </si>
  <si>
    <t>TRUCK DIESEL FROTA 09 2/4</t>
  </si>
  <si>
    <t>CALANGO MOLAS 1/3 FROTA 01</t>
  </si>
  <si>
    <t>BR CARRETAS 1/3</t>
  </si>
  <si>
    <t>REDIESEL WANDERLÉIA 01 1/4</t>
  </si>
  <si>
    <t>REDIESEL FROTA 02 3/4</t>
  </si>
  <si>
    <t>BR CARRETAS WANDERLÉIA 01 2/3</t>
  </si>
  <si>
    <t>A B P REPARO DE PNEUS/RECUPERAÇÃO E CONSERTO PNEU FROTA 01</t>
  </si>
  <si>
    <t>SERVIÇO CAIXA FROTA 03 2/2 - LUCAS BARBOSA</t>
  </si>
  <si>
    <t>GOMMA PNEUS FROTINHA</t>
  </si>
  <si>
    <t>M E SANTOS FROTA 02 2/2</t>
  </si>
  <si>
    <t>PEÇAS PESADAS RECAPAGENS FROTAS EM GERAL 3/4</t>
  </si>
  <si>
    <t>AUTOAMÉRICA FROTA 2 3/5</t>
  </si>
  <si>
    <t>CALANGO MOLAS WANDÉRLEIA 01 E 02 2/3</t>
  </si>
  <si>
    <t>CASTANHA COMÉRCIO FROTA 09 2/3</t>
  </si>
  <si>
    <t>REVISÃO FROTA 05 1/3</t>
  </si>
  <si>
    <t>CONFECÇÃO DE CHAVE TORNEIRO - PIX JOSÉ NIVALDO</t>
  </si>
  <si>
    <t>FERRAMENTA/MANUTENÇÃP</t>
  </si>
  <si>
    <t>BORRACHARIA FROTA 03 - PIX JOSÉ RICK WEIKMAN</t>
  </si>
  <si>
    <t>REDIESEL WANDERLÉIA 03 1/1</t>
  </si>
  <si>
    <t>CANTÚ PNEUS (CPX DISTRIBUIDORA) CARRETA FIBRA  2/4</t>
  </si>
  <si>
    <t>SERVIÇO FREIO WANDERLÉIA 03 - PIX DANIEL R SILVA</t>
  </si>
  <si>
    <t>BR CARRETAS FROTA 01/WANDERLEIA 01 3/4</t>
  </si>
  <si>
    <t>BRADIPE AUTOPEÇAS - FROTA 08 2/3</t>
  </si>
  <si>
    <t>PEÇAS PESADAS RECAPAGENS FROTA GERAL 1/4</t>
  </si>
  <si>
    <t>K C DOS SANTOS EIRELI - OFICINA FROTA 09 2/2</t>
  </si>
  <si>
    <t>MÁQUINA PARA PUXAR FROTA 09 OP. BOTAFOGO-PIX FABIO O PEREIRA</t>
  </si>
  <si>
    <t>CUSTO OPERACIONAL</t>
  </si>
  <si>
    <t>COMPRA DE SELO PARA BOMBA -PIX  DI ROLAMENTOS</t>
  </si>
  <si>
    <t>REDIESEL FROTAS 01 E 03 2/3</t>
  </si>
  <si>
    <t>REDIESEL AGREGADO ROMUALDO 3/3</t>
  </si>
  <si>
    <t>CANTÚ PNEUS (CPX DISTRIBUIDORA) CARRETA FIBRA 03 4/5</t>
  </si>
  <si>
    <t>IMBIRIBEIRA DIESEL FROTA 9 4/5</t>
  </si>
  <si>
    <t>PEÇAS PESADAS RECAPAGENS FROTA 05 GERAL 4/4</t>
  </si>
  <si>
    <t>RECAPAGENS FROTA 01  E CARRETA WANDÉRLEIA 03 2/4</t>
  </si>
  <si>
    <t>RECIDIESEL FROTA 08 1/3</t>
  </si>
  <si>
    <t>CONFECÇÃO DE PLACA FROTA 08 - PIX EDMILSON JOSÉ SOUZA</t>
  </si>
  <si>
    <t>R R SOLUÇÕES EM EPIS</t>
  </si>
  <si>
    <t>BANCOD DO BRASIL</t>
  </si>
  <si>
    <t>CALANGO MOLAS WANDERLÉIA 01 1/3</t>
  </si>
  <si>
    <t>PEÇAS PESADAS PCT ALINHAMENTO FROTA 05 2/3</t>
  </si>
  <si>
    <t>M R COMÉRCIO E SERV. DE MOLAS FROTA 01 1/3</t>
  </si>
  <si>
    <t>INSPEAUTO CIV E CIPP FROTA 01 3/3</t>
  </si>
  <si>
    <t>INSPEAUTO CIPP CARRETA DE FIBRA 02 1/3</t>
  </si>
  <si>
    <t>CALANGO MOLAS - COMPRA DE PEÇAS</t>
  </si>
  <si>
    <t>BR CARRETAS - WANDERLEIA 01 3/4</t>
  </si>
  <si>
    <t>PEÇAS PESADAS RECAPAGENS FROTA 02 3/4</t>
  </si>
  <si>
    <t>RECIDIESEL FROTA 08 2/3</t>
  </si>
  <si>
    <t>BR CARRETAS FROTA GERAL 1/2</t>
  </si>
  <si>
    <t>REDIESEL FROTA GERAL 1/4</t>
  </si>
  <si>
    <t>REDIESEL CARRETA FIBRA 03 4/4</t>
  </si>
  <si>
    <t>REDIESEL WANDERLÉIA 03 3/4</t>
  </si>
  <si>
    <t>T P OLIVEIRA-SÓ ELÉTRICA FROTA GERAL 1/1</t>
  </si>
  <si>
    <t>INSPEÇÃO CIPP CARRETA FIBRA 02 1/3</t>
  </si>
  <si>
    <t>INSPEÇÃO CIV E CIPP - FROTA 08 2/3</t>
  </si>
  <si>
    <t>REDIESEL WANDERLÉIA 01 4/4</t>
  </si>
  <si>
    <t>REDIESEL WANDERLEIA 03 3/4</t>
  </si>
  <si>
    <t>CASTANHA COMÉRCIO FROTA 09 3/3</t>
  </si>
  <si>
    <t>LUCAS AUTO SERVIÇOS 1/1 WANDERLÉIA 01</t>
  </si>
  <si>
    <t>BRADIPE AUTOPEÇAS - WANDERLÉIA 01 1/3</t>
  </si>
  <si>
    <t>VALCONI FROTA 08 1/2</t>
  </si>
  <si>
    <t>DEDÉ BATERIAS FROTA 09 1/3</t>
  </si>
  <si>
    <t>REDIESEL AGREGADO 03 3/3</t>
  </si>
  <si>
    <t>F M FACTORING - MOLAS CARRETA INOX 1/2</t>
  </si>
  <si>
    <t>F M FACTORING - MOLAS FROTA 02 INOX 1/3</t>
  </si>
  <si>
    <t>SETA TERESINA - CIV FROTA 04 1/1</t>
  </si>
  <si>
    <t>TACÓGRAFO FROTA 04 1/1</t>
  </si>
  <si>
    <t>CASTANHA COMÉRCIO FROTA 08 3/3</t>
  </si>
  <si>
    <t>REDIESEL WANDÉRLEIA 02 2/3</t>
  </si>
  <si>
    <t>REDIESEL FROTA 04 2/2</t>
  </si>
  <si>
    <t>BORRACHARIA FROTA 03 - PIX GABRIEL SANTOS REIS</t>
  </si>
  <si>
    <t>REDIESEL FROTA 08 E WANDERLÉIA 01 1/3</t>
  </si>
  <si>
    <t>CALANGO MOLAS CARRETA INOX 1/1</t>
  </si>
  <si>
    <t>REDIESEL CARRETA FIBRA 03 2/2</t>
  </si>
  <si>
    <t>REDIESEL CARRETA FIBRA 03 2/4</t>
  </si>
  <si>
    <t>BORRACHARIA FROTA 08 - PIX JOSÉ SEVERINO SILVA</t>
  </si>
  <si>
    <t>GUINCHO - FROTA 02 - PIX BIA LOCAÇÕES E TRANSPORTES LTDA</t>
  </si>
  <si>
    <t>REDIESEL FROTA 08 4/4</t>
  </si>
  <si>
    <t>REDIESEL FROTA 01, 02 E WANDERLÉIA 02 1/4</t>
  </si>
  <si>
    <t>PFB2A13/RCP3F78/GGJ8E57</t>
  </si>
  <si>
    <t xml:space="preserve">COMERCIAL RODE BEM - BORRACHARIA FROTA 04 </t>
  </si>
  <si>
    <t xml:space="preserve">RECIFE CARRETAS - MOLAS REALEZA WANDERLÉIA 01 </t>
  </si>
  <si>
    <t>INSPEAUTO CIPP CARRETA INOX 2/2</t>
  </si>
  <si>
    <t>INSPEAUTO CIPP CARRETA FIBRA 03 2/3</t>
  </si>
  <si>
    <t>DESPESAS FROTA 02 - SINISTRO</t>
  </si>
  <si>
    <t>PEÇAS PARA MANUT. GARAGEM - INTERNO</t>
  </si>
  <si>
    <t>MANUTENÇÃO FROTA 03 - PIX AGRIPINO A SILVA</t>
  </si>
  <si>
    <t>MANUTENÇÃO FROTA 08 - PIX AGRIPINO A SILVA</t>
  </si>
  <si>
    <t>DESPESAS ACIDENTE - PIX VALDENIO JOSÉ DE ALBUQUERQUE</t>
  </si>
  <si>
    <t>BORRACHARIA - TROCA DE PNEU -WANDERLEIA 03- PIX NAARA VIEIRA SILVA</t>
  </si>
  <si>
    <t>SUSBTITUIÇÃO PNEU CARRETA INOX - NAARA VIEIRA E SILVA</t>
  </si>
  <si>
    <t>PFB2A13/PES6F45/PEL9J12/KJV2E27</t>
  </si>
  <si>
    <t>SERVIÇO DE MANUTENÇÃO FROTAS 01,03,09 E CARRETA FIBRA 03</t>
  </si>
  <si>
    <t>RECIFE CARRETAS - MOLAS REALEZA WANDERLÉIA 02 1/2</t>
  </si>
  <si>
    <t>RECIFE CARRETAS - MOLAS REALEZA WANDERLÉIA 01 1/2</t>
  </si>
  <si>
    <t>TRUCK DIESEL FROTA 09 3/4</t>
  </si>
  <si>
    <t>REVISÃO FROTA 05 2/3</t>
  </si>
  <si>
    <t>REDIESEL FROTA 02 4/4</t>
  </si>
  <si>
    <t>PEÇAS PESADAS RECAPAGENS FROTAS EM GERAL 4/4</t>
  </si>
  <si>
    <t>CANTÚ PNEUS (CPX DISTRIBUIDORA) CARRETA FIBRA  3/4</t>
  </si>
  <si>
    <t>CALANGO MOLAS 2/3 FROTA 01</t>
  </si>
  <si>
    <t>BR CARRETAS 2/3</t>
  </si>
  <si>
    <t>BRADIPE FROTA 08</t>
  </si>
  <si>
    <t>POSTO DE MOLAS SÃO JORGE - F M FACTORING LTDA-CARRETA INOX 1/2</t>
  </si>
  <si>
    <t>AUTOAMÉRICA FROTA 2 4/5</t>
  </si>
  <si>
    <t>BR CARRETAS WANDERLÉIA 01 3/3</t>
  </si>
  <si>
    <t>IMBIRIBEIRA DIESEL FROTA 4 1/3</t>
  </si>
  <si>
    <t>REDIESEL FROTA 04 E 09 1/4</t>
  </si>
  <si>
    <t>QQN8J78/PEL9J12</t>
  </si>
  <si>
    <t>SERVIÇO OFICINA FROTA 02 (CABINE)</t>
  </si>
  <si>
    <t>DEDÉ BATERIAS FROTA 09 2/3</t>
  </si>
  <si>
    <t>CALANGO MOLAS WANDERLÉIA 01 E 02 2/3</t>
  </si>
  <si>
    <t>PEÇAS PESADAS RECAPAGENS FROTA GERAL 2/4</t>
  </si>
  <si>
    <t>RECIDIESEL  FROTA 08 2/3</t>
  </si>
  <si>
    <t>SERVIÇO DE MOLAS CARRETA INOX 1/3 - BCM SECURITIZADORA</t>
  </si>
  <si>
    <t>BR CARRETAS FROTA 01/WANDERLEIA 01 4/4</t>
  </si>
  <si>
    <t>REDIESEL FROTA GERAL 1/2</t>
  </si>
  <si>
    <t>DAFONTE RENOVADORA - CARRETA INOX 1/1</t>
  </si>
  <si>
    <t>CANTÚ PNEUS (CPX DISTRIBUIDORA) CARRETA FIBRA  1/6</t>
  </si>
  <si>
    <t>CANTÚ PNEUS (CPX DISTRIBUIDORA) FROTA 08  1/5</t>
  </si>
  <si>
    <t>ENGENHO LIMPADOR FROTA 03-PIX ANSELMO JOSÉ SALES</t>
  </si>
  <si>
    <t>CANTÚ PNEUS (CPX DISTRIBUIDORA) CARRETA FIBRA 03 5/5</t>
  </si>
  <si>
    <t>BRADIPE WANDERLÉIA 01</t>
  </si>
  <si>
    <t>RECAPAGENS FROTA 01  E CARRETA WANDÉRLEIA 03 3/4</t>
  </si>
  <si>
    <t>IMBIRIBEIRA DIESEL FROTA 9 5/5</t>
  </si>
  <si>
    <t>INSPEAUTO CIV E CIPP CARRETA FIBRA 02</t>
  </si>
  <si>
    <t>KVI1F02</t>
  </si>
  <si>
    <t>TACÓGRAFO FROTA 05 PIX VAESTH TACÓGRAFOS</t>
  </si>
  <si>
    <t>CIV E CIPP WANDERLÉIA ALUGADA - PIX MARIVALDA L FORTES</t>
  </si>
  <si>
    <t>COMERCIAL RODE BEM -  FROTA 04 1/6</t>
  </si>
  <si>
    <t>RODOMAIS CRONOTACÓGRAFO FROTA 09</t>
  </si>
  <si>
    <t>SERVIÇO MANECO DE FREIO FROTA 03 -PIX DANIEL R SILVA</t>
  </si>
  <si>
    <t>FORNECEDOR DE PEÇAS - PIX JACOB A N JR.</t>
  </si>
  <si>
    <t>PEÇAS PESADAS RECAPAGENS FROTA 02 4/4</t>
  </si>
  <si>
    <t>CALANGO MOLAS FROTA 08 1/1</t>
  </si>
  <si>
    <t>PEÇAS PESADAS PCT ALINHAMENTO FROTA 05 3/3</t>
  </si>
  <si>
    <t>CALANGO MOLAS WANDERLÉIA 01 2/3</t>
  </si>
  <si>
    <t>BR CARRETAS - WANDERLEIA 01 4/4</t>
  </si>
  <si>
    <t>SERV. MOLAS CARRETA DE FIBRA 03 1/4 (F M FACTORING)</t>
  </si>
  <si>
    <t>REDIESEL WANDERLÉIA 03 4/4</t>
  </si>
  <si>
    <t>REDIESEL FROTA GERAL 2/4</t>
  </si>
  <si>
    <t>RECIDIESEL FROTA 08 3/3</t>
  </si>
  <si>
    <t>CANTÚ PNEUS (CPX DISTRIBUIDORA)  1/6</t>
  </si>
  <si>
    <t>M R COMÉRCIO E SERV. DE MOLAS FROTA 01 2/3</t>
  </si>
  <si>
    <t>SERVIÇOS DE MOLAS CARRETA INOX - F M FACTORING</t>
  </si>
  <si>
    <t>SERV. MOLAS FROTA 02 2/3 - F M FACTORING</t>
  </si>
  <si>
    <t>BR CARRETAS FROTA GERAL 2/2</t>
  </si>
  <si>
    <t>DAFONTE COMÉRCIO DE PNEUS 1/6</t>
  </si>
  <si>
    <t>REDIESEL FROTA 04 1/1</t>
  </si>
  <si>
    <t>REDIESEL WANDERLEIA 03 4/4</t>
  </si>
  <si>
    <t>DEDÉ BATERIAS FROTA 09 3/3</t>
  </si>
  <si>
    <t>RODOMAIS FROTA 08</t>
  </si>
  <si>
    <t>RECIDIESEL  FROTA 08 3/3</t>
  </si>
  <si>
    <t>REDIESEL WANDÉRLEIAS 01 E 03 2/4</t>
  </si>
  <si>
    <t>REDIESEL WANDÉRLEIA 02 3/3</t>
  </si>
  <si>
    <t>REDIESEL FROTA 04 E CARRETA DE INOX 1/3</t>
  </si>
  <si>
    <t>QQN8J78/KLU1I80</t>
  </si>
  <si>
    <t>REDIESEL FROTA 03 1/2</t>
  </si>
  <si>
    <t>REDIESEL FROTA 01 E 05 1/4</t>
  </si>
  <si>
    <t>PFB2A13/SNO6F99</t>
  </si>
  <si>
    <t>REDIESEL WANDERLÉIA 01 E FROTA 08 1/4</t>
  </si>
  <si>
    <t>QHM8J69/EGJ4B71</t>
  </si>
  <si>
    <t>RECIFE CARRETAS WANDERLÉIA 01</t>
  </si>
  <si>
    <t>REDIESEL FROTAS 03, 05 E 06 1/4</t>
  </si>
  <si>
    <t>PES6F45/SNO6F99/QIZ3E10</t>
  </si>
  <si>
    <t>REDIESEL FROTA 01</t>
  </si>
  <si>
    <t>RNS2E58</t>
  </si>
  <si>
    <t>SERVIÇO DE MOLAS CARRETA INOX F M FACTORING</t>
  </si>
  <si>
    <t>RODOMAIS CLIMATIZADOR FROTA 04</t>
  </si>
  <si>
    <t>BR CARRETAS FROTA 05 1/3</t>
  </si>
  <si>
    <t>INSPEAUTO CIV CARRETA INOX 1/3</t>
  </si>
  <si>
    <t>REDIESEL FROTA 01 E 02 E WANDERLÉIA 01 1/4</t>
  </si>
  <si>
    <t>PFB2A13/RCP3F78/QHM8J69</t>
  </si>
  <si>
    <t>REVISÃO FROTA 05 3/3</t>
  </si>
  <si>
    <t>PEÇA DE INOX PIX JACOB A N JR</t>
  </si>
  <si>
    <t>INSPEAUTO CIPP CARRETA FIBRA 03 3/3</t>
  </si>
  <si>
    <t>INSPEAUTO CIPP CARRETA FROTA 02 3/3</t>
  </si>
  <si>
    <t>INSPEAUTO CIPP CARRETA INOX 3/3</t>
  </si>
  <si>
    <t>RECIFE CARRETAS WANDERLÉIA 02</t>
  </si>
  <si>
    <t>RECIFE CARRRETAS WANDERLÉIA 01</t>
  </si>
  <si>
    <t>PARCELA</t>
  </si>
  <si>
    <t>NILSON CABRAL - TRUCK DIESEL</t>
  </si>
  <si>
    <t>4/4</t>
  </si>
  <si>
    <t>2/2</t>
  </si>
  <si>
    <t>5/5</t>
  </si>
  <si>
    <t>1/1</t>
  </si>
  <si>
    <t>3/4</t>
  </si>
  <si>
    <t>CANTÚ PNEUS (CPX DISTRIBUIDORA) CARRETA FIBRA  4/4</t>
  </si>
  <si>
    <t>2/4</t>
  </si>
  <si>
    <t>1/4</t>
  </si>
  <si>
    <t>RECIDIESEL</t>
  </si>
  <si>
    <t>3/3</t>
  </si>
  <si>
    <t>2/3</t>
  </si>
  <si>
    <t>DAFONTE - DESPESAS COM RETROESCAVADEIRA</t>
  </si>
  <si>
    <t>BR CARRETAS 3/3</t>
  </si>
  <si>
    <t>1/2</t>
  </si>
  <si>
    <t>CALANGO MOLAS</t>
  </si>
  <si>
    <t xml:space="preserve">REDIESEL </t>
  </si>
  <si>
    <t xml:space="preserve">PEÇAS PESADAS RECAPAGENS </t>
  </si>
  <si>
    <t>COMPRA DE PEÇA - VANNUCCI - BAHIA</t>
  </si>
  <si>
    <t>VANNUCCI AUTOPEÇAS - SUPORTE DA BOLSA</t>
  </si>
  <si>
    <t>1/3</t>
  </si>
  <si>
    <t>IMBIRIBEIRA DIESEL</t>
  </si>
  <si>
    <t>BORRACHARIA FROTA GERAL</t>
  </si>
  <si>
    <t>FROTA GERAL</t>
  </si>
  <si>
    <t xml:space="preserve">BRADIPE </t>
  </si>
  <si>
    <t>F M FACTORING-BR MOLAS</t>
  </si>
  <si>
    <t>2/6</t>
  </si>
  <si>
    <t>2/5</t>
  </si>
  <si>
    <t xml:space="preserve">CANTÚ PNEUS (CPX DISTRIBUIDORA) </t>
  </si>
  <si>
    <t xml:space="preserve">AUTOAMÉRICA </t>
  </si>
  <si>
    <t>BCM SCURITIZADORA - BR MOLAS</t>
  </si>
  <si>
    <t>INSPEAUTO CIPP</t>
  </si>
  <si>
    <t>BORRACHARIA SIDERS - PIX JOSÉ ADIVAN MICAEL</t>
  </si>
  <si>
    <t>SIDERS</t>
  </si>
  <si>
    <t>TORNEIRO WANDERLÉIA - PIX DEMÉTRIO JOSÉ DE LEMOS</t>
  </si>
  <si>
    <t>CASTANHA COMÉRCIO</t>
  </si>
  <si>
    <t xml:space="preserve">M R COMÉRCIO E SERV. DE MOLAS </t>
  </si>
  <si>
    <t>A B P REPARO DE PNEUS - REFORMA DE PNEUS</t>
  </si>
  <si>
    <t>PEÇAS PESADAS - PACOTE DE SERVIÇOS</t>
  </si>
  <si>
    <t xml:space="preserve">COMERCIAL RODE BEM </t>
  </si>
  <si>
    <t>INSPEAUTO - CIV</t>
  </si>
  <si>
    <t>COMPA DE PEÇAS - PIX JANAILSON PEREIRA VALENÇA</t>
  </si>
  <si>
    <t xml:space="preserve">CALANGO MOLAS </t>
  </si>
  <si>
    <t>SERV. MOLAS CARRETA DE FIBRA</t>
  </si>
  <si>
    <t>SERV. MANUTENÇÃO DE FREIOS WANDERLÉIA 02</t>
  </si>
  <si>
    <t>QQN8J78/KVI1F02</t>
  </si>
  <si>
    <t>DEDÉ BATERIAS FROTA 04</t>
  </si>
  <si>
    <t>SEVIÇO MANUTENÇÃO FROTA 08-PIX MECÂNICA DIESEL</t>
  </si>
  <si>
    <t xml:space="preserve">REDIESEL FROTA GERAL </t>
  </si>
  <si>
    <t>T P SILVA OLIVEIRA - SÓ ELÉTRICA-FROTA GERAL</t>
  </si>
  <si>
    <t xml:space="preserve">SERV. MOLAS - F M FACTORING - FROTA 02 </t>
  </si>
  <si>
    <t xml:space="preserve">REDIESEL FROTA 08 </t>
  </si>
  <si>
    <t xml:space="preserve">PEÇAS PESADAS RECAPAGENS FROTA GERAL </t>
  </si>
  <si>
    <t>PEÇAS PESADAS - PNEUS FROTA 05</t>
  </si>
  <si>
    <t>SERV. MOLAS - F M FACTORING - FROTA 06</t>
  </si>
  <si>
    <t xml:space="preserve">REDIESEL FROTA 06 </t>
  </si>
  <si>
    <t xml:space="preserve">REDIESEL WANDERLÉIA 01 </t>
  </si>
  <si>
    <t xml:space="preserve">REDIESEL FROTA 04 E CARRETA DE INOX </t>
  </si>
  <si>
    <t xml:space="preserve">DAFONTE COMÉRCIO DE PNEUS </t>
  </si>
  <si>
    <t xml:space="preserve">REVISÃO FROTA 07 </t>
  </si>
  <si>
    <t xml:space="preserve">REDIESEL WANDÉRLEIAS 01 E 03 </t>
  </si>
  <si>
    <t>RECIFE CARRETAS WANDERLÉIA 03</t>
  </si>
  <si>
    <t>1/6</t>
  </si>
  <si>
    <t>REDIESEL WANDERLÉIA 01 E FROTA 08</t>
  </si>
  <si>
    <t xml:space="preserve">REDIESEL FROTA 01 E 05 </t>
  </si>
  <si>
    <t>NILSON CABRAL - TRUCK DIESEL FROTA 01</t>
  </si>
  <si>
    <t>A C A MOTORES ELÉTRICOS - BOMBA FROTA 02</t>
  </si>
  <si>
    <t>INSPEAUTO - CIV CARRETA INOX</t>
  </si>
  <si>
    <t>COMERCIAL RODE BEM FROTA 07</t>
  </si>
  <si>
    <t>PEÇAS PESADAS RECAPAGENS</t>
  </si>
  <si>
    <t>LUCAS BARBOSA DA SILVA - SERV. FREIOS FROTA 04</t>
  </si>
  <si>
    <t>MANT. VEÍCULOS</t>
  </si>
  <si>
    <t>BRADEIPE FOTA 04</t>
  </si>
  <si>
    <t>REVISÃO FROTA 07 - DAF</t>
  </si>
  <si>
    <t>INSPEAUTO CIPP FROTA 01</t>
  </si>
  <si>
    <t>MANUTENÇÃO FROTA 01 - PIX FABRICIANO B SOARES</t>
  </si>
  <si>
    <t>MANUTENÇÃO BOMBA GARAGEM - PIX ALLISON A F BARBOSA</t>
  </si>
  <si>
    <t>REDIESEL FROTAS 03, 05 E 06</t>
  </si>
  <si>
    <t>BRADIPE FROTA 04</t>
  </si>
  <si>
    <t>INSPEAUTO CIPP CARRETA FIBRA 02</t>
  </si>
  <si>
    <t>DESPESAS BORACHARIA FROTA 07-PIX MESSIAS AUGUSTO</t>
  </si>
  <si>
    <t>SERV. DE RODA WANDERLÉIA 02</t>
  </si>
  <si>
    <t>DESPESAS SOCORRO FROTA 06 - PIX VALDENIO JOSÉ DE ALBUQUERQUE</t>
  </si>
  <si>
    <t>BR CARRETAS FROTA 05</t>
  </si>
  <si>
    <t xml:space="preserve">REDIESEL CARRETA FIBRA 03 </t>
  </si>
  <si>
    <t xml:space="preserve">REDIESEL FROTA 01 E 02 E WANDERLÉIA 01 </t>
  </si>
  <si>
    <t>REDIESEL FROTA 08 E WANDERLÉIA 01</t>
  </si>
  <si>
    <t>REDIESEL FROTA 04</t>
  </si>
  <si>
    <t>PEÇAS FROTAS EM GERAL-PIX JANAILSON PEREIRA VALENÇA</t>
  </si>
  <si>
    <t>SERVIÇO DE FREIOS FROTA 04-PIX NEIRIVALDO DOS SANTOS SILVA</t>
  </si>
  <si>
    <t>SOCORRO CARRETA FIBRA 03-PIX JANILSON V ALVES</t>
  </si>
  <si>
    <t>HIGIENIZAÇÃO FROTA 08-PIX PEDRO PAULO DIAS DE SANTANA</t>
  </si>
  <si>
    <t>HIGIENIZAÇÃO</t>
  </si>
  <si>
    <t>GERALCENTER SERVIÇO WANDERLÉIA 03</t>
  </si>
  <si>
    <t>REDIESEL FROTA 08</t>
  </si>
  <si>
    <t>ISAÍAS PLACAS</t>
  </si>
  <si>
    <t>REDIESEL FROTA 01 E WANDERLÉIA 01</t>
  </si>
  <si>
    <t>REDIESEL CARRETA FIBRA 02</t>
  </si>
  <si>
    <t>NILSON CABRAL TRUCK DIESEL-CARRETA FIBRA 02</t>
  </si>
  <si>
    <t>MERCADO PAGO-COMPRA DE PEÇAS GARAGEM</t>
  </si>
  <si>
    <t>REFORMA CARRETA DE FIBRA 01-PIX VI NOVA INDUSTRIA E COMÉRICIO DE FIBERGLASS LTDA</t>
  </si>
  <si>
    <t xml:space="preserve">PEÇAS PESADAS </t>
  </si>
  <si>
    <t>RODOMAIS - VALCONI</t>
  </si>
  <si>
    <t>INSPEAUTO</t>
  </si>
  <si>
    <t>BHDIESEL INJEÇÃO ELETRÔNICA</t>
  </si>
  <si>
    <t>RDIESEL</t>
  </si>
  <si>
    <t>BRADIPE</t>
  </si>
  <si>
    <t>PE CARDAN</t>
  </si>
  <si>
    <t xml:space="preserve">DEDÉ BATERIAS </t>
  </si>
  <si>
    <t>F M FACTORING - SERV. MOLAS</t>
  </si>
  <si>
    <t>PFB2A13/RCP3F78/KVI1F02</t>
  </si>
  <si>
    <t>BR CARRETAS</t>
  </si>
  <si>
    <t>NOVA COMÉRCIO DE VEÍCULOS - DAF</t>
  </si>
  <si>
    <t>EJG4B71/QHM8J69</t>
  </si>
  <si>
    <t>4/6</t>
  </si>
  <si>
    <t>4/5</t>
  </si>
  <si>
    <t>PEÇAS PESADAS</t>
  </si>
  <si>
    <t>COMERCIAL RODE BEM</t>
  </si>
  <si>
    <t>QQN8J78/EXN3I17</t>
  </si>
  <si>
    <t>3/6</t>
  </si>
  <si>
    <t>5/6</t>
  </si>
  <si>
    <t>3/5</t>
  </si>
  <si>
    <t>BORRACHARIA PIX JOSÉ MARCOS FRANCISCO</t>
  </si>
  <si>
    <t>T. P. OLIVEIRA-SÓ ELÉTRICA</t>
  </si>
  <si>
    <t>SERVIÇOS MANUTENÇÃO FROTA-PIX ALBERICO VIANA</t>
  </si>
  <si>
    <t>ENGETEC DIESEL</t>
  </si>
  <si>
    <t>B C M SECURITIZADORA-JOSÉ ROQUE MOLAS</t>
  </si>
  <si>
    <t>BH DIESEL - SERVIÇOS DOS BICOS</t>
  </si>
  <si>
    <t>INSPEAUTO CIV</t>
  </si>
  <si>
    <t>SERVIÇO MANUTENÇÃO-PIX JOSÉ A MICAEL</t>
  </si>
  <si>
    <t>SERVIÇO FREIO-PIX JOÃO A G SILVA</t>
  </si>
  <si>
    <t>LUCAS BARBOSA DA SILVA - SERV. VÁLVULA FROTA 04</t>
  </si>
  <si>
    <t>DEDÉ BATERIAS</t>
  </si>
  <si>
    <t>SERV. TROCA DE BALANÇA - PIX BASTOS E FEIJÍ LTDA</t>
  </si>
  <si>
    <t>SERV. ELÉTRICO - PIX PAULO HENRIQUE</t>
  </si>
  <si>
    <t>SERV. TORNEIRO - BOMBA-PIX CLEIZIANE V SILVA</t>
  </si>
  <si>
    <t>MANUTENÇÃO EQUIPAMENTOS</t>
  </si>
  <si>
    <t>EDILTON C DA SILVA-CALANGO MOLAS</t>
  </si>
  <si>
    <t xml:space="preserve">BR CARRETAS </t>
  </si>
  <si>
    <t>ÓLEO DOT 4- PIX AUTO PEÇAS VITÓRIA</t>
  </si>
  <si>
    <t>R S MANGUEIRAS</t>
  </si>
  <si>
    <t>BRASIL CARRETAS</t>
  </si>
  <si>
    <t>RECIFE CARRETAS</t>
  </si>
  <si>
    <t xml:space="preserve">REDIESEL FROTAS </t>
  </si>
  <si>
    <t>NOVA COM. CAMINHOES-DAF</t>
  </si>
  <si>
    <t>INSPEAUTO CIV E CIPP</t>
  </si>
  <si>
    <t xml:space="preserve">BRASIL CARRETAS </t>
  </si>
  <si>
    <t>EQUIPAMENTOS DE SEGURANÇA</t>
  </si>
  <si>
    <t>PFB2A13/PES6F45/QQN8J78</t>
  </si>
  <si>
    <t>SERVIÇO ELÉTRICO-PIX PAULO HENRIQUE MELO DA SILVA</t>
  </si>
  <si>
    <t>BORRACHARIA-PIX JOSÉ A MICAEL SILVA</t>
  </si>
  <si>
    <t>VALCONI SANTOS</t>
  </si>
  <si>
    <t xml:space="preserve">SERVIÇO AR CONDICIONADO - PIX JAILTON DA SILVA </t>
  </si>
  <si>
    <t xml:space="preserve">SERVIÇO COMPRESSOR - PIX RAFAEL L S SOLIDÃO </t>
  </si>
  <si>
    <t>HERG SOLUÇÕES</t>
  </si>
  <si>
    <t>EXN3I17/KVI1F02</t>
  </si>
  <si>
    <t>REFORMA CARRETA DE FIBRA - PIX CELIO COSTA - ACERTO FINAL</t>
  </si>
  <si>
    <t>REVISÃO FROTINHA - PIX ALESSANDRO CRISTIANO</t>
  </si>
  <si>
    <t>BORRACHARIA - PIX JOSÉ MARCOS FRANCISCO DA SILVA</t>
  </si>
  <si>
    <t>SERVIÇO ELÉTRICO - PIX PAULO HENRIQUE</t>
  </si>
  <si>
    <t>321WD</t>
  </si>
  <si>
    <t>MANUTENÇÃO PNEUS-EDVALDO JOSÉ DA SILVA</t>
  </si>
  <si>
    <t>BORRACHARIA - PIX HENRIQUE VENCESLAU</t>
  </si>
  <si>
    <t>ENGETEC DIESEL - DIAGNÓSTICO DE FALHAS</t>
  </si>
  <si>
    <t>SOCORRO AGREGADO-PIX JP SERV. E MANUTENÇÃO DE MECÂNICA</t>
  </si>
  <si>
    <t>COMPRA DE PEÇAS R S MANGUEIRAS</t>
  </si>
  <si>
    <t>MATERIAL PARA PINTURA - PIX PAIVA &amp; CIA LTDA</t>
  </si>
  <si>
    <t>INSTALAÇÃO EQUIPAMENTOS GARAGEM - PIX PETRO G</t>
  </si>
  <si>
    <t>SERVIÇO DE PINTURA CHASSI CARRETA DE FIBRA - PIX LEANDRO MIGUEL</t>
  </si>
  <si>
    <t>NORDESTE RADIADORES</t>
  </si>
  <si>
    <t xml:space="preserve">R S MANGUEIRAS </t>
  </si>
  <si>
    <t>SERVIÇO MECÂNICO CARRETA DE FIBRA - PIX JANAILSON P VALENÇA</t>
  </si>
  <si>
    <t>PARAFUSO REAL</t>
  </si>
  <si>
    <t xml:space="preserve">RECIFE CARRETAS </t>
  </si>
  <si>
    <t>COMPRA DE PEÇAS (VÁLVULA CARRETA)</t>
  </si>
  <si>
    <t>BORRACHARIA - PIX JOSÉ M F SILVA</t>
  </si>
  <si>
    <t>PRAZERES BORACHAS</t>
  </si>
  <si>
    <t>T P OLIVEIRA SILVA (SÓ ELÉTRICA)</t>
  </si>
  <si>
    <t>A B P REPARO PNEUS</t>
  </si>
  <si>
    <t>EDILTON C DA SILVA (CALANGO MOLAS)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</si>
</sst>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_);\-&quot;R$&quot;\ #,##0.00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/>
    <xf numFmtId="14" fontId="0" fillId="0" borderId="2" xfId="0" applyNumberFormat="1" applyBorder="1"/>
    <xf numFmtId="14" fontId="2" fillId="0" borderId="1" xfId="0" applyNumberFormat="1" applyFont="1" applyBorder="1" applyAlignment="1">
      <alignment vertical="center"/>
    </xf>
    <xf numFmtId="164" fontId="0" fillId="0" borderId="1" xfId="0" applyNumberFormat="1" applyBorder="1"/>
    <xf numFmtId="0" fontId="0" fillId="0" borderId="3" xfId="0" applyBorder="1"/>
    <xf numFmtId="0" fontId="1" fillId="0" borderId="5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2" borderId="2" xfId="0" applyNumberFormat="1" applyFill="1" applyBorder="1" applyAlignment="1">
      <alignment horizontal="right"/>
    </xf>
    <xf numFmtId="49" fontId="0" fillId="0" borderId="1" xfId="0" applyNumberFormat="1" applyBorder="1"/>
    <xf numFmtId="165" fontId="0" fillId="0" borderId="1" xfId="0" applyNumberFormat="1" applyBorder="1"/>
    <xf numFmtId="0" fontId="0" fillId="0" borderId="0" xfId="0"/>
    <xf numFmtId="14" fontId="0" fillId="0" borderId="1" xfId="0" applyNumberFormat="1" applyBorder="1"/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0" xfId="0" applyFill="1" applyBorder="1"/>
    <xf numFmtId="44" fontId="0" fillId="2" borderId="2" xfId="0" applyNumberFormat="1" applyFill="1" applyBorder="1" applyAlignment="1">
      <alignment horizontal="right"/>
    </xf>
    <xf numFmtId="0" fontId="0" fillId="2" borderId="6" xfId="0" applyFill="1" applyBorder="1" applyAlignment="1">
      <alignment horizontal="left"/>
    </xf>
    <xf numFmtId="44" fontId="0" fillId="2" borderId="2" xfId="0" applyNumberFormat="1" applyFill="1" applyBorder="1" applyAlignment="1">
      <alignment horizontal="center"/>
    </xf>
    <xf numFmtId="0" fontId="0" fillId="3" borderId="0" xfId="0" applyFill="1"/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49" fontId="0" fillId="0" borderId="2" xfId="0" applyNumberFormat="1" applyBorder="1"/>
    <xf numFmtId="165" fontId="0" fillId="0" borderId="2" xfId="0" applyNumberFormat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0" fontId="4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4" fontId="3" fillId="0" borderId="1" xfId="0" applyNumberFormat="1" applyFont="1" applyBorder="1"/>
    <xf numFmtId="49" fontId="3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/>
    <xf numFmtId="0" fontId="4" fillId="0" borderId="5" xfId="0" applyFont="1" applyBorder="1" applyAlignment="1">
      <alignment horizontal="center"/>
    </xf>
    <xf numFmtId="0" fontId="3" fillId="3" borderId="0" xfId="0" applyFont="1" applyFill="1"/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/>
    <xf numFmtId="164" fontId="3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14" fontId="5" fillId="0" borderId="1" xfId="0" applyNumberFormat="1" applyFont="1" applyBorder="1" applyAlignment="1">
      <alignment vertical="center"/>
    </xf>
    <xf numFmtId="0" fontId="4" fillId="4" borderId="3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3" xfId="0" applyFont="1" applyBorder="1"/>
    <xf numFmtId="0" fontId="3" fillId="2" borderId="1" xfId="0" applyFont="1" applyFill="1" applyBorder="1" applyAlignment="1">
      <alignment horizontal="left"/>
    </xf>
    <xf numFmtId="14" fontId="3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44" fontId="3" fillId="2" borderId="2" xfId="0" applyNumberFormat="1" applyFont="1" applyFill="1" applyBorder="1" applyAlignment="1">
      <alignment horizontal="right"/>
    </xf>
    <xf numFmtId="44" fontId="3" fillId="2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0" borderId="2" xfId="0" applyNumberFormat="1" applyFont="1" applyBorder="1"/>
    <xf numFmtId="49" fontId="3" fillId="0" borderId="2" xfId="0" applyNumberFormat="1" applyFont="1" applyBorder="1"/>
    <xf numFmtId="165" fontId="3" fillId="0" borderId="2" xfId="0" applyNumberFormat="1" applyFont="1" applyBorder="1"/>
    <xf numFmtId="0" fontId="3" fillId="2" borderId="3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1">
    <cellStyle name="Normal" xfId="0" builtinId="0"/>
  </cellStyles>
  <dxfs count="29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843E-FE41-45BD-ADE1-6FB0C3565DD7}">
  <dimension ref="A1:J118"/>
  <sheetViews>
    <sheetView zoomScale="84" zoomScaleNormal="84" workbookViewId="0">
      <selection activeCell="D13" sqref="D13"/>
    </sheetView>
  </sheetViews>
  <sheetFormatPr defaultRowHeight="15" x14ac:dyDescent="0.25"/>
  <cols>
    <col min="2" max="2" width="15.42578125" customWidth="1"/>
    <col min="3" max="3" width="71" customWidth="1"/>
    <col min="4" max="4" width="32.140625" customWidth="1"/>
    <col min="5" max="5" width="26.7109375" customWidth="1"/>
    <col min="6" max="6" width="14.85546875" customWidth="1"/>
    <col min="7" max="7" width="11.28515625" customWidth="1"/>
    <col min="8" max="8" width="17.42578125" customWidth="1"/>
  </cols>
  <sheetData>
    <row r="1" spans="1:10" x14ac:dyDescent="0.25">
      <c r="A1" s="67" t="s">
        <v>15</v>
      </c>
      <c r="B1" s="68"/>
      <c r="C1" s="68"/>
      <c r="D1" s="68"/>
      <c r="E1" s="68"/>
      <c r="F1" s="68"/>
      <c r="G1" s="69"/>
      <c r="H1" s="30"/>
      <c r="I1" s="23"/>
    </row>
    <row r="2" spans="1:10" x14ac:dyDescent="0.25">
      <c r="A2" s="27" t="s">
        <v>0</v>
      </c>
      <c r="B2" s="24" t="s">
        <v>1</v>
      </c>
      <c r="C2" s="24" t="s">
        <v>2</v>
      </c>
      <c r="D2" s="24" t="s">
        <v>31</v>
      </c>
      <c r="E2" s="24" t="s">
        <v>32</v>
      </c>
      <c r="F2" s="24" t="s">
        <v>3</v>
      </c>
      <c r="G2" s="24" t="s">
        <v>4</v>
      </c>
      <c r="H2" s="25" t="s">
        <v>5</v>
      </c>
      <c r="I2" s="26" t="s">
        <v>6</v>
      </c>
    </row>
    <row r="3" spans="1:10" x14ac:dyDescent="0.25">
      <c r="A3" s="16"/>
      <c r="B3" s="15">
        <v>45870</v>
      </c>
      <c r="C3" s="12" t="s">
        <v>53</v>
      </c>
      <c r="D3" s="12" t="s">
        <v>17</v>
      </c>
      <c r="E3" s="12" t="s">
        <v>36</v>
      </c>
      <c r="F3" s="13">
        <v>690</v>
      </c>
      <c r="G3" s="2" t="s">
        <v>7</v>
      </c>
      <c r="H3" s="2" t="s">
        <v>21</v>
      </c>
      <c r="I3" s="2" t="s">
        <v>90</v>
      </c>
      <c r="J3" t="s">
        <v>20</v>
      </c>
    </row>
    <row r="4" spans="1:10" x14ac:dyDescent="0.25">
      <c r="A4" s="16"/>
      <c r="B4" s="3">
        <v>45873</v>
      </c>
      <c r="C4" s="28" t="s">
        <v>93</v>
      </c>
      <c r="D4" s="28" t="s">
        <v>17</v>
      </c>
      <c r="E4" s="28" t="s">
        <v>36</v>
      </c>
      <c r="F4" s="29">
        <v>40</v>
      </c>
      <c r="G4" s="2" t="s">
        <v>7</v>
      </c>
      <c r="H4" s="2" t="s">
        <v>21</v>
      </c>
      <c r="I4" s="6" t="s">
        <v>76</v>
      </c>
      <c r="J4" t="s">
        <v>20</v>
      </c>
    </row>
    <row r="5" spans="1:10" s="14" customFormat="1" x14ac:dyDescent="0.25">
      <c r="A5" s="16"/>
      <c r="B5" s="3">
        <v>45873</v>
      </c>
      <c r="C5" s="28" t="s">
        <v>100</v>
      </c>
      <c r="D5" s="28" t="s">
        <v>17</v>
      </c>
      <c r="E5" s="28" t="s">
        <v>36</v>
      </c>
      <c r="F5" s="29">
        <v>1000</v>
      </c>
      <c r="G5" s="2" t="s">
        <v>7</v>
      </c>
      <c r="H5" s="2" t="s">
        <v>21</v>
      </c>
      <c r="I5" s="6" t="s">
        <v>9</v>
      </c>
      <c r="J5" s="14" t="s">
        <v>20</v>
      </c>
    </row>
    <row r="6" spans="1:10" s="14" customFormat="1" x14ac:dyDescent="0.25">
      <c r="A6" s="16"/>
      <c r="B6" s="3">
        <v>45873</v>
      </c>
      <c r="C6" s="28" t="s">
        <v>102</v>
      </c>
      <c r="D6" s="28" t="s">
        <v>34</v>
      </c>
      <c r="E6" s="28" t="s">
        <v>33</v>
      </c>
      <c r="F6" s="29">
        <v>323.47000000000003</v>
      </c>
      <c r="G6" s="2" t="s">
        <v>7</v>
      </c>
      <c r="H6" s="2" t="s">
        <v>21</v>
      </c>
      <c r="I6" s="6" t="s">
        <v>78</v>
      </c>
      <c r="J6" s="19" t="s">
        <v>20</v>
      </c>
    </row>
    <row r="7" spans="1:10" x14ac:dyDescent="0.25">
      <c r="A7" s="16"/>
      <c r="B7" s="11">
        <v>45874</v>
      </c>
      <c r="C7" s="17" t="s">
        <v>105</v>
      </c>
      <c r="D7" s="17" t="s">
        <v>34</v>
      </c>
      <c r="E7" s="17" t="s">
        <v>33</v>
      </c>
      <c r="F7" s="20">
        <v>786.04</v>
      </c>
      <c r="G7" s="2" t="s">
        <v>7</v>
      </c>
      <c r="H7" s="8" t="s">
        <v>23</v>
      </c>
      <c r="I7" s="18" t="s">
        <v>12</v>
      </c>
      <c r="J7" s="21" t="s">
        <v>20</v>
      </c>
    </row>
    <row r="8" spans="1:10" x14ac:dyDescent="0.25">
      <c r="A8" s="7"/>
      <c r="B8" s="15">
        <v>45874</v>
      </c>
      <c r="C8" s="12" t="s">
        <v>104</v>
      </c>
      <c r="D8" s="12" t="s">
        <v>39</v>
      </c>
      <c r="E8" s="12" t="s">
        <v>36</v>
      </c>
      <c r="F8" s="13">
        <v>425</v>
      </c>
      <c r="G8" s="2" t="s">
        <v>7</v>
      </c>
      <c r="H8" s="2" t="s">
        <v>23</v>
      </c>
      <c r="I8" s="2" t="s">
        <v>90</v>
      </c>
      <c r="J8" t="s">
        <v>20</v>
      </c>
    </row>
    <row r="9" spans="1:10" s="14" customFormat="1" x14ac:dyDescent="0.25">
      <c r="A9" s="7"/>
      <c r="B9" s="15">
        <v>45875</v>
      </c>
      <c r="C9" s="12" t="s">
        <v>111</v>
      </c>
      <c r="D9" s="12" t="s">
        <v>17</v>
      </c>
      <c r="E9" s="12" t="s">
        <v>36</v>
      </c>
      <c r="F9" s="13">
        <v>50</v>
      </c>
      <c r="G9" s="2" t="s">
        <v>7</v>
      </c>
      <c r="H9" s="2" t="s">
        <v>23</v>
      </c>
      <c r="I9" s="2" t="s">
        <v>22</v>
      </c>
      <c r="J9" s="14" t="s">
        <v>20</v>
      </c>
    </row>
    <row r="10" spans="1:10" x14ac:dyDescent="0.25">
      <c r="A10" s="7"/>
      <c r="B10" s="15">
        <v>45876</v>
      </c>
      <c r="C10" s="12" t="s">
        <v>104</v>
      </c>
      <c r="D10" s="12" t="s">
        <v>39</v>
      </c>
      <c r="E10" s="12" t="s">
        <v>36</v>
      </c>
      <c r="F10" s="13">
        <v>875</v>
      </c>
      <c r="G10" s="2" t="s">
        <v>7</v>
      </c>
      <c r="H10" s="2" t="s">
        <v>23</v>
      </c>
      <c r="I10" s="2" t="s">
        <v>90</v>
      </c>
      <c r="J10" s="19" t="s">
        <v>20</v>
      </c>
    </row>
    <row r="11" spans="1:10" x14ac:dyDescent="0.25">
      <c r="A11" s="7"/>
      <c r="B11" s="15">
        <v>45876</v>
      </c>
      <c r="C11" s="12" t="s">
        <v>113</v>
      </c>
      <c r="D11" s="12" t="s">
        <v>34</v>
      </c>
      <c r="E11" s="12" t="s">
        <v>33</v>
      </c>
      <c r="F11" s="13">
        <v>888.5</v>
      </c>
      <c r="G11" s="2" t="s">
        <v>7</v>
      </c>
      <c r="H11" s="2" t="s">
        <v>21</v>
      </c>
      <c r="I11" s="2" t="s">
        <v>45</v>
      </c>
      <c r="J11" s="19" t="s">
        <v>20</v>
      </c>
    </row>
    <row r="12" spans="1:10" x14ac:dyDescent="0.25">
      <c r="A12" s="7"/>
      <c r="B12" s="15">
        <v>45877</v>
      </c>
      <c r="C12" s="12" t="s">
        <v>117</v>
      </c>
      <c r="D12" s="12" t="s">
        <v>39</v>
      </c>
      <c r="E12" s="12" t="s">
        <v>36</v>
      </c>
      <c r="F12" s="13">
        <v>1262.5</v>
      </c>
      <c r="G12" s="2" t="s">
        <v>7</v>
      </c>
      <c r="H12" s="2" t="s">
        <v>21</v>
      </c>
      <c r="I12" s="2" t="s">
        <v>90</v>
      </c>
      <c r="J12" s="19" t="s">
        <v>20</v>
      </c>
    </row>
    <row r="13" spans="1:10" x14ac:dyDescent="0.25">
      <c r="A13" s="7"/>
      <c r="B13" s="15">
        <v>45882</v>
      </c>
      <c r="C13" s="12" t="s">
        <v>127</v>
      </c>
      <c r="D13" s="12" t="s">
        <v>39</v>
      </c>
      <c r="E13" s="12" t="s">
        <v>36</v>
      </c>
      <c r="F13" s="13">
        <v>1677.5</v>
      </c>
      <c r="G13" s="2" t="s">
        <v>7</v>
      </c>
      <c r="H13" s="2" t="s">
        <v>21</v>
      </c>
      <c r="I13" s="2" t="s">
        <v>80</v>
      </c>
      <c r="J13" s="19" t="s">
        <v>20</v>
      </c>
    </row>
    <row r="14" spans="1:10" x14ac:dyDescent="0.25">
      <c r="A14" s="7"/>
      <c r="B14" s="15">
        <v>45891</v>
      </c>
      <c r="C14" s="12" t="s">
        <v>163</v>
      </c>
      <c r="D14" s="12" t="s">
        <v>17</v>
      </c>
      <c r="E14" s="12" t="s">
        <v>36</v>
      </c>
      <c r="F14" s="13">
        <v>40</v>
      </c>
      <c r="G14" s="2" t="s">
        <v>7</v>
      </c>
      <c r="H14" s="2" t="s">
        <v>21</v>
      </c>
      <c r="I14" s="2" t="s">
        <v>22</v>
      </c>
      <c r="J14" s="19" t="s">
        <v>20</v>
      </c>
    </row>
    <row r="15" spans="1:10" x14ac:dyDescent="0.25">
      <c r="A15" s="7"/>
      <c r="B15" s="15">
        <v>45881</v>
      </c>
      <c r="C15" s="12" t="s">
        <v>126</v>
      </c>
      <c r="D15" s="12" t="s">
        <v>39</v>
      </c>
      <c r="E15" s="12" t="s">
        <v>36</v>
      </c>
      <c r="F15" s="13">
        <v>2047.5</v>
      </c>
      <c r="G15" s="2" t="s">
        <v>7</v>
      </c>
      <c r="H15" s="2" t="s">
        <v>21</v>
      </c>
      <c r="I15" s="2" t="s">
        <v>10</v>
      </c>
      <c r="J15" t="s">
        <v>20</v>
      </c>
    </row>
    <row r="16" spans="1:10" x14ac:dyDescent="0.25">
      <c r="A16" s="7"/>
      <c r="B16" s="15">
        <v>45881</v>
      </c>
      <c r="C16" s="12" t="s">
        <v>124</v>
      </c>
      <c r="D16" s="12" t="s">
        <v>34</v>
      </c>
      <c r="E16" s="12" t="s">
        <v>33</v>
      </c>
      <c r="F16" s="13">
        <v>730.15</v>
      </c>
      <c r="G16" s="2" t="s">
        <v>7</v>
      </c>
      <c r="H16" s="2" t="s">
        <v>21</v>
      </c>
      <c r="I16" s="2" t="s">
        <v>45</v>
      </c>
      <c r="J16" t="s">
        <v>20</v>
      </c>
    </row>
    <row r="17" spans="1:10" x14ac:dyDescent="0.25">
      <c r="A17" s="7"/>
      <c r="B17" s="15">
        <v>45887</v>
      </c>
      <c r="C17" s="12" t="s">
        <v>139</v>
      </c>
      <c r="D17" s="12" t="s">
        <v>39</v>
      </c>
      <c r="E17" s="12" t="s">
        <v>36</v>
      </c>
      <c r="F17" s="13">
        <v>425</v>
      </c>
      <c r="G17" s="2" t="s">
        <v>7</v>
      </c>
      <c r="H17" s="2" t="s">
        <v>21</v>
      </c>
      <c r="I17" s="2" t="s">
        <v>12</v>
      </c>
      <c r="J17" t="s">
        <v>20</v>
      </c>
    </row>
    <row r="18" spans="1:10" x14ac:dyDescent="0.25">
      <c r="A18" s="7"/>
      <c r="B18" s="15">
        <v>45883</v>
      </c>
      <c r="C18" s="12" t="s">
        <v>133</v>
      </c>
      <c r="D18" s="12" t="s">
        <v>17</v>
      </c>
      <c r="E18" s="12" t="s">
        <v>36</v>
      </c>
      <c r="F18" s="13">
        <v>400</v>
      </c>
      <c r="G18" s="2" t="s">
        <v>7</v>
      </c>
      <c r="H18" s="2" t="s">
        <v>21</v>
      </c>
      <c r="I18" s="2" t="s">
        <v>10</v>
      </c>
      <c r="J18" t="s">
        <v>20</v>
      </c>
    </row>
    <row r="19" spans="1:10" x14ac:dyDescent="0.25">
      <c r="A19" s="7"/>
      <c r="B19" s="15">
        <v>45894</v>
      </c>
      <c r="C19" s="12" t="s">
        <v>70</v>
      </c>
      <c r="D19" s="12" t="s">
        <v>39</v>
      </c>
      <c r="E19" s="12" t="s">
        <v>36</v>
      </c>
      <c r="F19" s="13">
        <v>1072.5</v>
      </c>
      <c r="G19" s="2" t="s">
        <v>7</v>
      </c>
      <c r="H19" s="2" t="s">
        <v>23</v>
      </c>
      <c r="I19" s="2" t="s">
        <v>90</v>
      </c>
      <c r="J19" t="s">
        <v>20</v>
      </c>
    </row>
    <row r="20" spans="1:10" x14ac:dyDescent="0.25">
      <c r="A20" s="7"/>
      <c r="B20" s="15">
        <v>45894</v>
      </c>
      <c r="C20" s="12" t="s">
        <v>100</v>
      </c>
      <c r="D20" s="12" t="s">
        <v>17</v>
      </c>
      <c r="E20" s="12" t="s">
        <v>36</v>
      </c>
      <c r="F20" s="13">
        <v>1000</v>
      </c>
      <c r="G20" s="2" t="s">
        <v>7</v>
      </c>
      <c r="H20" s="2" t="s">
        <v>23</v>
      </c>
      <c r="I20" s="2" t="s">
        <v>9</v>
      </c>
      <c r="J20" t="s">
        <v>20</v>
      </c>
    </row>
    <row r="21" spans="1:10" x14ac:dyDescent="0.25">
      <c r="A21" s="7"/>
      <c r="B21" s="15">
        <v>45896</v>
      </c>
      <c r="C21" s="12" t="s">
        <v>168</v>
      </c>
      <c r="D21" s="12" t="s">
        <v>17</v>
      </c>
      <c r="E21" s="12" t="s">
        <v>36</v>
      </c>
      <c r="F21" s="13">
        <v>30</v>
      </c>
      <c r="G21" s="2" t="s">
        <v>7</v>
      </c>
      <c r="H21" s="2" t="s">
        <v>21</v>
      </c>
      <c r="I21" s="2" t="s">
        <v>24</v>
      </c>
      <c r="J21" t="s">
        <v>20</v>
      </c>
    </row>
    <row r="22" spans="1:10" s="14" customFormat="1" x14ac:dyDescent="0.25">
      <c r="A22" s="7"/>
      <c r="B22" s="15">
        <v>45897</v>
      </c>
      <c r="C22" s="12" t="s">
        <v>173</v>
      </c>
      <c r="D22" s="12" t="s">
        <v>17</v>
      </c>
      <c r="E22" s="12" t="s">
        <v>36</v>
      </c>
      <c r="F22" s="13">
        <v>50</v>
      </c>
      <c r="G22" s="2" t="s">
        <v>7</v>
      </c>
      <c r="H22" s="2" t="s">
        <v>21</v>
      </c>
      <c r="I22" s="2" t="s">
        <v>11</v>
      </c>
      <c r="J22" s="14" t="s">
        <v>20</v>
      </c>
    </row>
    <row r="23" spans="1:10" s="14" customFormat="1" x14ac:dyDescent="0.25">
      <c r="A23" s="7"/>
      <c r="B23" s="15">
        <v>45900</v>
      </c>
      <c r="C23" s="12" t="s">
        <v>182</v>
      </c>
      <c r="D23" s="12" t="s">
        <v>17</v>
      </c>
      <c r="E23" s="12" t="s">
        <v>36</v>
      </c>
      <c r="F23" s="13">
        <v>120</v>
      </c>
      <c r="G23" s="2" t="s">
        <v>7</v>
      </c>
      <c r="H23" s="2" t="s">
        <v>21</v>
      </c>
      <c r="I23" s="2" t="s">
        <v>43</v>
      </c>
      <c r="J23" s="14" t="s">
        <v>20</v>
      </c>
    </row>
    <row r="24" spans="1:10" s="14" customFormat="1" x14ac:dyDescent="0.25">
      <c r="A24" s="7"/>
      <c r="B24" s="15">
        <v>45900</v>
      </c>
      <c r="C24" s="12" t="s">
        <v>183</v>
      </c>
      <c r="D24" s="12" t="s">
        <v>17</v>
      </c>
      <c r="E24" s="12" t="s">
        <v>36</v>
      </c>
      <c r="F24" s="13">
        <v>120</v>
      </c>
      <c r="G24" s="2" t="s">
        <v>7</v>
      </c>
      <c r="H24" s="2" t="s">
        <v>19</v>
      </c>
      <c r="I24" s="2" t="s">
        <v>16</v>
      </c>
      <c r="J24" s="14" t="s">
        <v>20</v>
      </c>
    </row>
    <row r="25" spans="1:10" x14ac:dyDescent="0.25">
      <c r="A25" s="7"/>
      <c r="B25" s="15"/>
      <c r="C25" s="12"/>
      <c r="D25" s="12"/>
      <c r="E25" s="12"/>
      <c r="F25" s="13"/>
      <c r="G25" s="2"/>
      <c r="H25" s="2"/>
      <c r="I25" s="2"/>
    </row>
    <row r="26" spans="1:10" x14ac:dyDescent="0.25">
      <c r="A26" s="7"/>
      <c r="B26" s="15"/>
      <c r="C26" s="4" t="s">
        <v>8</v>
      </c>
      <c r="D26" s="4"/>
      <c r="E26" s="4"/>
      <c r="F26" s="5">
        <f>SUM(F3:F24)</f>
        <v>14053.16</v>
      </c>
      <c r="G26" s="2"/>
      <c r="H26" s="2"/>
      <c r="I26" s="2"/>
    </row>
    <row r="27" spans="1:10" x14ac:dyDescent="0.25">
      <c r="A27" s="67" t="s">
        <v>17</v>
      </c>
      <c r="B27" s="68"/>
      <c r="C27" s="68"/>
      <c r="D27" s="68"/>
      <c r="E27" s="68"/>
      <c r="F27" s="68"/>
      <c r="G27" s="69"/>
      <c r="H27" s="30"/>
      <c r="I27" s="23"/>
    </row>
    <row r="28" spans="1:10" x14ac:dyDescent="0.25">
      <c r="A28" s="27" t="s">
        <v>0</v>
      </c>
      <c r="B28" s="24" t="s">
        <v>1</v>
      </c>
      <c r="C28" s="24" t="s">
        <v>2</v>
      </c>
      <c r="D28" s="24" t="s">
        <v>31</v>
      </c>
      <c r="E28" s="24" t="s">
        <v>32</v>
      </c>
      <c r="F28" s="24" t="s">
        <v>3</v>
      </c>
      <c r="G28" s="24" t="s">
        <v>4</v>
      </c>
      <c r="H28" s="25" t="s">
        <v>5</v>
      </c>
      <c r="I28" s="26" t="s">
        <v>6</v>
      </c>
    </row>
    <row r="29" spans="1:10" x14ac:dyDescent="0.25">
      <c r="A29" s="1"/>
      <c r="B29" s="11">
        <v>45870</v>
      </c>
      <c r="C29" s="17" t="s">
        <v>89</v>
      </c>
      <c r="D29" s="17" t="s">
        <v>61</v>
      </c>
      <c r="E29" s="17" t="s">
        <v>36</v>
      </c>
      <c r="F29" s="22">
        <v>220</v>
      </c>
      <c r="G29" s="2" t="s">
        <v>7</v>
      </c>
      <c r="H29" s="9" t="s">
        <v>21</v>
      </c>
      <c r="I29" s="6" t="s">
        <v>22</v>
      </c>
      <c r="J29" t="s">
        <v>20</v>
      </c>
    </row>
    <row r="30" spans="1:10" x14ac:dyDescent="0.25">
      <c r="A30" s="10"/>
      <c r="B30" s="15">
        <v>45871</v>
      </c>
      <c r="C30" s="12" t="s">
        <v>91</v>
      </c>
      <c r="D30" s="12" t="s">
        <v>37</v>
      </c>
      <c r="E30" s="12" t="s">
        <v>36</v>
      </c>
      <c r="F30" s="13">
        <v>17.82</v>
      </c>
      <c r="G30" s="2" t="s">
        <v>7</v>
      </c>
      <c r="H30" s="2" t="s">
        <v>21</v>
      </c>
      <c r="I30" s="2"/>
      <c r="J30" t="s">
        <v>20</v>
      </c>
    </row>
    <row r="31" spans="1:10" x14ac:dyDescent="0.25">
      <c r="A31" s="10"/>
      <c r="B31" s="15">
        <v>45871</v>
      </c>
      <c r="C31" s="12" t="s">
        <v>92</v>
      </c>
      <c r="D31" s="12" t="s">
        <v>37</v>
      </c>
      <c r="E31" s="12" t="s">
        <v>36</v>
      </c>
      <c r="F31" s="13">
        <v>10.8</v>
      </c>
      <c r="G31" s="2" t="s">
        <v>7</v>
      </c>
      <c r="H31" s="2" t="s">
        <v>21</v>
      </c>
      <c r="I31" s="2" t="s">
        <v>77</v>
      </c>
      <c r="J31" t="s">
        <v>20</v>
      </c>
    </row>
    <row r="32" spans="1:10" x14ac:dyDescent="0.25">
      <c r="A32" s="10"/>
      <c r="B32" s="15">
        <v>45873</v>
      </c>
      <c r="C32" s="12" t="s">
        <v>103</v>
      </c>
      <c r="D32" s="12" t="s">
        <v>38</v>
      </c>
      <c r="E32" s="12" t="s">
        <v>36</v>
      </c>
      <c r="F32" s="13">
        <v>1265</v>
      </c>
      <c r="G32" s="2" t="s">
        <v>7</v>
      </c>
      <c r="H32" s="2" t="s">
        <v>21</v>
      </c>
      <c r="I32" s="2" t="s">
        <v>12</v>
      </c>
      <c r="J32" t="s">
        <v>20</v>
      </c>
    </row>
    <row r="33" spans="1:10" x14ac:dyDescent="0.25">
      <c r="A33" s="10"/>
      <c r="B33" s="15">
        <v>45873</v>
      </c>
      <c r="C33" s="12" t="s">
        <v>97</v>
      </c>
      <c r="D33" s="12" t="s">
        <v>37</v>
      </c>
      <c r="E33" s="12" t="s">
        <v>36</v>
      </c>
      <c r="F33" s="13">
        <v>244.75</v>
      </c>
      <c r="G33" s="2" t="s">
        <v>7</v>
      </c>
      <c r="H33" s="2" t="s">
        <v>21</v>
      </c>
      <c r="I33" s="2" t="s">
        <v>26</v>
      </c>
      <c r="J33" t="s">
        <v>20</v>
      </c>
    </row>
    <row r="34" spans="1:10" s="14" customFormat="1" x14ac:dyDescent="0.25">
      <c r="A34" s="10"/>
      <c r="B34" s="15">
        <v>45873</v>
      </c>
      <c r="C34" s="12" t="s">
        <v>97</v>
      </c>
      <c r="D34" s="12" t="s">
        <v>37</v>
      </c>
      <c r="E34" s="12" t="s">
        <v>36</v>
      </c>
      <c r="F34" s="13">
        <v>377.75</v>
      </c>
      <c r="G34" s="2" t="s">
        <v>7</v>
      </c>
      <c r="H34" s="2" t="s">
        <v>21</v>
      </c>
      <c r="I34" s="2" t="s">
        <v>26</v>
      </c>
      <c r="J34" s="14" t="s">
        <v>20</v>
      </c>
    </row>
    <row r="35" spans="1:10" x14ac:dyDescent="0.25">
      <c r="A35" s="10"/>
      <c r="B35" s="15">
        <v>45873</v>
      </c>
      <c r="C35" s="12" t="s">
        <v>94</v>
      </c>
      <c r="D35" s="12" t="s">
        <v>37</v>
      </c>
      <c r="E35" s="12" t="s">
        <v>36</v>
      </c>
      <c r="F35" s="13">
        <v>737.5</v>
      </c>
      <c r="G35" s="2" t="s">
        <v>7</v>
      </c>
      <c r="H35" s="2" t="s">
        <v>21</v>
      </c>
      <c r="I35" s="2" t="s">
        <v>76</v>
      </c>
      <c r="J35" t="s">
        <v>20</v>
      </c>
    </row>
    <row r="36" spans="1:10" x14ac:dyDescent="0.25">
      <c r="A36" s="10"/>
      <c r="B36" s="15">
        <v>45873</v>
      </c>
      <c r="C36" s="12" t="s">
        <v>95</v>
      </c>
      <c r="D36" s="12" t="s">
        <v>41</v>
      </c>
      <c r="E36" s="12" t="s">
        <v>36</v>
      </c>
      <c r="F36" s="13">
        <v>394.4</v>
      </c>
      <c r="G36" s="2" t="s">
        <v>7</v>
      </c>
      <c r="H36" s="2" t="s">
        <v>21</v>
      </c>
      <c r="I36" s="2" t="s">
        <v>9</v>
      </c>
      <c r="J36" t="s">
        <v>20</v>
      </c>
    </row>
    <row r="37" spans="1:10" x14ac:dyDescent="0.25">
      <c r="A37" s="10"/>
      <c r="B37" s="15">
        <v>45873</v>
      </c>
      <c r="C37" s="12" t="s">
        <v>96</v>
      </c>
      <c r="D37" s="12" t="s">
        <v>37</v>
      </c>
      <c r="E37" s="12" t="s">
        <v>36</v>
      </c>
      <c r="F37" s="13">
        <v>199.34</v>
      </c>
      <c r="G37" s="2" t="s">
        <v>7</v>
      </c>
      <c r="H37" s="2" t="s">
        <v>21</v>
      </c>
      <c r="I37" s="2" t="s">
        <v>26</v>
      </c>
      <c r="J37" t="s">
        <v>20</v>
      </c>
    </row>
    <row r="38" spans="1:10" x14ac:dyDescent="0.25">
      <c r="A38" s="10"/>
      <c r="B38" s="15">
        <v>45873</v>
      </c>
      <c r="C38" s="12" t="s">
        <v>99</v>
      </c>
      <c r="D38" s="12" t="s">
        <v>37</v>
      </c>
      <c r="E38" s="12" t="s">
        <v>36</v>
      </c>
      <c r="F38" s="13">
        <v>366.67</v>
      </c>
      <c r="G38" s="2" t="s">
        <v>7</v>
      </c>
      <c r="H38" s="2" t="s">
        <v>21</v>
      </c>
      <c r="I38" s="2" t="s">
        <v>26</v>
      </c>
      <c r="J38" t="s">
        <v>20</v>
      </c>
    </row>
    <row r="39" spans="1:10" x14ac:dyDescent="0.25">
      <c r="A39" s="10"/>
      <c r="B39" s="15">
        <v>45873</v>
      </c>
      <c r="C39" s="12" t="s">
        <v>98</v>
      </c>
      <c r="D39" s="12" t="s">
        <v>37</v>
      </c>
      <c r="E39" s="12" t="s">
        <v>36</v>
      </c>
      <c r="F39" s="13">
        <v>323.75</v>
      </c>
      <c r="G39" s="2" t="s">
        <v>7</v>
      </c>
      <c r="H39" s="2" t="s">
        <v>21</v>
      </c>
      <c r="I39" s="2" t="s">
        <v>12</v>
      </c>
      <c r="J39" t="s">
        <v>20</v>
      </c>
    </row>
    <row r="40" spans="1:10" x14ac:dyDescent="0.25">
      <c r="A40" s="10"/>
      <c r="B40" s="15">
        <v>45874</v>
      </c>
      <c r="C40" s="12" t="s">
        <v>108</v>
      </c>
      <c r="D40" s="12" t="s">
        <v>88</v>
      </c>
      <c r="E40" s="12" t="s">
        <v>36</v>
      </c>
      <c r="F40" s="13">
        <v>1105.5999999999999</v>
      </c>
      <c r="G40" s="2" t="s">
        <v>7</v>
      </c>
      <c r="H40" s="12" t="s">
        <v>23</v>
      </c>
      <c r="I40" s="2" t="s">
        <v>10</v>
      </c>
      <c r="J40" t="s">
        <v>20</v>
      </c>
    </row>
    <row r="41" spans="1:10" x14ac:dyDescent="0.25">
      <c r="A41" s="10"/>
      <c r="B41" s="15">
        <v>45875</v>
      </c>
      <c r="C41" s="12" t="s">
        <v>109</v>
      </c>
      <c r="D41" s="12" t="s">
        <v>110</v>
      </c>
      <c r="E41" s="12" t="s">
        <v>36</v>
      </c>
      <c r="F41" s="13">
        <v>200</v>
      </c>
      <c r="G41" s="2" t="s">
        <v>7</v>
      </c>
      <c r="H41" s="2" t="s">
        <v>23</v>
      </c>
      <c r="I41" s="2" t="s">
        <v>90</v>
      </c>
      <c r="J41" t="s">
        <v>20</v>
      </c>
    </row>
    <row r="42" spans="1:10" x14ac:dyDescent="0.25">
      <c r="A42" s="10"/>
      <c r="B42" s="15">
        <v>45873</v>
      </c>
      <c r="C42" s="12" t="s">
        <v>101</v>
      </c>
      <c r="D42" s="12" t="s">
        <v>61</v>
      </c>
      <c r="E42" s="12" t="s">
        <v>36</v>
      </c>
      <c r="F42" s="13">
        <v>3950</v>
      </c>
      <c r="G42" s="2" t="s">
        <v>7</v>
      </c>
      <c r="H42" s="2" t="s">
        <v>21</v>
      </c>
      <c r="I42" s="2" t="s">
        <v>22</v>
      </c>
      <c r="J42" t="s">
        <v>20</v>
      </c>
    </row>
    <row r="43" spans="1:10" x14ac:dyDescent="0.25">
      <c r="A43" s="10"/>
      <c r="B43" s="15">
        <v>45874</v>
      </c>
      <c r="C43" s="12" t="s">
        <v>106</v>
      </c>
      <c r="D43" s="12" t="s">
        <v>41</v>
      </c>
      <c r="E43" s="12" t="s">
        <v>36</v>
      </c>
      <c r="F43" s="13">
        <v>229.17</v>
      </c>
      <c r="G43" s="2" t="s">
        <v>7</v>
      </c>
      <c r="H43" s="2" t="s">
        <v>23</v>
      </c>
      <c r="I43" s="2" t="s">
        <v>44</v>
      </c>
      <c r="J43" t="s">
        <v>20</v>
      </c>
    </row>
    <row r="44" spans="1:10" x14ac:dyDescent="0.25">
      <c r="A44" s="10"/>
      <c r="B44" s="15">
        <v>45874</v>
      </c>
      <c r="C44" s="12" t="s">
        <v>107</v>
      </c>
      <c r="D44" s="12" t="s">
        <v>61</v>
      </c>
      <c r="E44" s="12" t="s">
        <v>36</v>
      </c>
      <c r="F44" s="13">
        <v>633.33000000000004</v>
      </c>
      <c r="G44" s="2" t="s">
        <v>7</v>
      </c>
      <c r="H44" s="2" t="s">
        <v>23</v>
      </c>
      <c r="I44" s="2" t="s">
        <v>76</v>
      </c>
      <c r="J44" t="s">
        <v>20</v>
      </c>
    </row>
    <row r="45" spans="1:10" x14ac:dyDescent="0.25">
      <c r="A45" s="10"/>
      <c r="B45" s="15">
        <v>45876</v>
      </c>
      <c r="C45" s="12" t="s">
        <v>112</v>
      </c>
      <c r="D45" s="12" t="s">
        <v>37</v>
      </c>
      <c r="E45" s="12" t="s">
        <v>36</v>
      </c>
      <c r="F45" s="13">
        <v>168.54</v>
      </c>
      <c r="G45" s="2" t="s">
        <v>7</v>
      </c>
      <c r="H45" s="2" t="s">
        <v>23</v>
      </c>
      <c r="I45" s="2" t="s">
        <v>43</v>
      </c>
      <c r="J45" t="s">
        <v>20</v>
      </c>
    </row>
    <row r="46" spans="1:10" s="14" customFormat="1" x14ac:dyDescent="0.25">
      <c r="A46" s="10"/>
      <c r="B46" s="15">
        <v>45876</v>
      </c>
      <c r="C46" s="12" t="s">
        <v>64</v>
      </c>
      <c r="D46" s="12" t="s">
        <v>37</v>
      </c>
      <c r="E46" s="12" t="s">
        <v>36</v>
      </c>
      <c r="F46" s="13">
        <v>137.66999999999999</v>
      </c>
      <c r="G46" s="2" t="s">
        <v>7</v>
      </c>
      <c r="H46" s="2" t="s">
        <v>23</v>
      </c>
      <c r="I46" s="2" t="s">
        <v>76</v>
      </c>
      <c r="J46" s="14" t="s">
        <v>20</v>
      </c>
    </row>
    <row r="47" spans="1:10" s="14" customFormat="1" x14ac:dyDescent="0.25">
      <c r="A47" s="10"/>
      <c r="B47" s="15">
        <v>45876</v>
      </c>
      <c r="C47" s="12" t="s">
        <v>66</v>
      </c>
      <c r="D47" s="12" t="s">
        <v>37</v>
      </c>
      <c r="E47" s="12" t="s">
        <v>36</v>
      </c>
      <c r="F47" s="13">
        <v>230</v>
      </c>
      <c r="G47" s="2" t="s">
        <v>7</v>
      </c>
      <c r="H47" s="2" t="s">
        <v>23</v>
      </c>
      <c r="I47" s="2" t="s">
        <v>76</v>
      </c>
      <c r="J47" s="14" t="s">
        <v>20</v>
      </c>
    </row>
    <row r="48" spans="1:10" x14ac:dyDescent="0.25">
      <c r="A48" s="10"/>
      <c r="B48" s="15">
        <v>45877</v>
      </c>
      <c r="C48" s="12" t="s">
        <v>115</v>
      </c>
      <c r="D48" s="12" t="s">
        <v>37</v>
      </c>
      <c r="E48" s="12" t="s">
        <v>36</v>
      </c>
      <c r="F48" s="13">
        <v>625.5</v>
      </c>
      <c r="G48" s="2" t="s">
        <v>7</v>
      </c>
      <c r="H48" s="2" t="s">
        <v>21</v>
      </c>
      <c r="I48" s="2" t="s">
        <v>67</v>
      </c>
      <c r="J48" t="s">
        <v>20</v>
      </c>
    </row>
    <row r="49" spans="1:10" x14ac:dyDescent="0.25">
      <c r="A49" s="10"/>
      <c r="B49" s="15">
        <v>45877</v>
      </c>
      <c r="C49" s="12" t="s">
        <v>146</v>
      </c>
      <c r="D49" s="12" t="s">
        <v>40</v>
      </c>
      <c r="E49" s="12" t="s">
        <v>36</v>
      </c>
      <c r="F49" s="13">
        <v>526</v>
      </c>
      <c r="G49" s="2" t="s">
        <v>7</v>
      </c>
      <c r="H49" s="2" t="s">
        <v>21</v>
      </c>
      <c r="I49" s="2" t="s">
        <v>28</v>
      </c>
      <c r="J49" t="s">
        <v>20</v>
      </c>
    </row>
    <row r="50" spans="1:10" x14ac:dyDescent="0.25">
      <c r="A50" s="10"/>
      <c r="B50" s="15">
        <v>45878</v>
      </c>
      <c r="C50" s="12" t="s">
        <v>119</v>
      </c>
      <c r="D50" s="12" t="s">
        <v>120</v>
      </c>
      <c r="E50" s="12" t="s">
        <v>36</v>
      </c>
      <c r="F50" s="13">
        <v>100</v>
      </c>
      <c r="G50" s="2" t="s">
        <v>7</v>
      </c>
      <c r="H50" s="12" t="s">
        <v>21</v>
      </c>
      <c r="I50" s="2" t="s">
        <v>76</v>
      </c>
      <c r="J50" t="s">
        <v>20</v>
      </c>
    </row>
    <row r="51" spans="1:10" x14ac:dyDescent="0.25">
      <c r="A51" s="10"/>
      <c r="B51" s="15">
        <v>45877</v>
      </c>
      <c r="C51" s="12" t="s">
        <v>114</v>
      </c>
      <c r="D51" s="12" t="s">
        <v>41</v>
      </c>
      <c r="E51" s="12" t="s">
        <v>36</v>
      </c>
      <c r="F51" s="13">
        <v>280</v>
      </c>
      <c r="G51" s="2" t="s">
        <v>7</v>
      </c>
      <c r="H51" s="2" t="s">
        <v>21</v>
      </c>
      <c r="I51" s="2" t="s">
        <v>43</v>
      </c>
      <c r="J51" t="s">
        <v>20</v>
      </c>
    </row>
    <row r="52" spans="1:10" x14ac:dyDescent="0.25">
      <c r="A52" s="10"/>
      <c r="B52" s="15">
        <v>45876</v>
      </c>
      <c r="C52" s="12" t="s">
        <v>82</v>
      </c>
      <c r="D52" s="12" t="s">
        <v>37</v>
      </c>
      <c r="E52" s="12" t="s">
        <v>36</v>
      </c>
      <c r="F52" s="13">
        <v>186</v>
      </c>
      <c r="G52" s="2" t="s">
        <v>7</v>
      </c>
      <c r="H52" s="2" t="s">
        <v>21</v>
      </c>
      <c r="I52" s="2" t="s">
        <v>76</v>
      </c>
      <c r="J52" t="s">
        <v>20</v>
      </c>
    </row>
    <row r="53" spans="1:10" x14ac:dyDescent="0.25">
      <c r="A53" s="10"/>
      <c r="B53" s="15">
        <v>45880</v>
      </c>
      <c r="C53" s="12" t="s">
        <v>121</v>
      </c>
      <c r="D53" s="12" t="s">
        <v>37</v>
      </c>
      <c r="E53" s="12" t="s">
        <v>36</v>
      </c>
      <c r="F53" s="13">
        <v>87</v>
      </c>
      <c r="G53" s="2" t="s">
        <v>7</v>
      </c>
      <c r="H53" s="12" t="s">
        <v>21</v>
      </c>
      <c r="I53" s="2" t="s">
        <v>90</v>
      </c>
      <c r="J53" t="s">
        <v>20</v>
      </c>
    </row>
    <row r="54" spans="1:10" x14ac:dyDescent="0.25">
      <c r="A54" s="10"/>
      <c r="B54" s="15">
        <v>45883</v>
      </c>
      <c r="C54" s="12" t="s">
        <v>134</v>
      </c>
      <c r="D54" s="12" t="s">
        <v>61</v>
      </c>
      <c r="E54" s="12" t="s">
        <v>36</v>
      </c>
      <c r="F54" s="13">
        <v>838</v>
      </c>
      <c r="G54" s="2" t="s">
        <v>7</v>
      </c>
      <c r="H54" s="12" t="s">
        <v>21</v>
      </c>
      <c r="I54" s="2" t="s">
        <v>9</v>
      </c>
      <c r="J54" t="s">
        <v>20</v>
      </c>
    </row>
    <row r="55" spans="1:10" x14ac:dyDescent="0.25">
      <c r="A55" s="10"/>
      <c r="B55" s="15">
        <v>45883</v>
      </c>
      <c r="C55" s="12" t="s">
        <v>135</v>
      </c>
      <c r="D55" s="12" t="s">
        <v>40</v>
      </c>
      <c r="E55" s="12" t="s">
        <v>36</v>
      </c>
      <c r="F55" s="13">
        <v>743.33</v>
      </c>
      <c r="G55" s="2" t="s">
        <v>7</v>
      </c>
      <c r="H55" s="12" t="s">
        <v>21</v>
      </c>
      <c r="I55" s="2" t="s">
        <v>9</v>
      </c>
      <c r="J55" t="s">
        <v>20</v>
      </c>
    </row>
    <row r="56" spans="1:10" x14ac:dyDescent="0.25">
      <c r="A56" s="10"/>
      <c r="B56" s="15">
        <v>45883</v>
      </c>
      <c r="C56" s="12" t="s">
        <v>136</v>
      </c>
      <c r="D56" s="12" t="s">
        <v>40</v>
      </c>
      <c r="E56" s="12" t="s">
        <v>36</v>
      </c>
      <c r="F56" s="13">
        <v>526.66</v>
      </c>
      <c r="G56" s="2" t="s">
        <v>7</v>
      </c>
      <c r="H56" s="12" t="s">
        <v>21</v>
      </c>
      <c r="I56" s="2" t="s">
        <v>28</v>
      </c>
      <c r="J56" s="14" t="s">
        <v>20</v>
      </c>
    </row>
    <row r="57" spans="1:10" x14ac:dyDescent="0.25">
      <c r="A57" s="10"/>
      <c r="B57" s="15">
        <v>45877</v>
      </c>
      <c r="C57" s="12" t="s">
        <v>118</v>
      </c>
      <c r="D57" s="12" t="s">
        <v>61</v>
      </c>
      <c r="E57" s="12" t="s">
        <v>36</v>
      </c>
      <c r="F57" s="13">
        <v>1500</v>
      </c>
      <c r="G57" s="2" t="s">
        <v>7</v>
      </c>
      <c r="H57" s="12" t="s">
        <v>21</v>
      </c>
      <c r="I57" s="2" t="s">
        <v>76</v>
      </c>
      <c r="J57" t="s">
        <v>20</v>
      </c>
    </row>
    <row r="58" spans="1:10" x14ac:dyDescent="0.25">
      <c r="A58" s="10"/>
      <c r="B58" s="15">
        <v>45881</v>
      </c>
      <c r="C58" s="12" t="s">
        <v>125</v>
      </c>
      <c r="D58" s="12" t="s">
        <v>37</v>
      </c>
      <c r="E58" s="12" t="s">
        <v>36</v>
      </c>
      <c r="F58" s="13">
        <v>2150</v>
      </c>
      <c r="G58" s="2" t="s">
        <v>7</v>
      </c>
      <c r="H58" s="12" t="s">
        <v>21</v>
      </c>
      <c r="I58" s="2" t="s">
        <v>76</v>
      </c>
      <c r="J58" t="s">
        <v>20</v>
      </c>
    </row>
    <row r="59" spans="1:10" x14ac:dyDescent="0.25">
      <c r="A59" s="10"/>
      <c r="B59" s="15">
        <v>45881</v>
      </c>
      <c r="C59" s="12" t="s">
        <v>55</v>
      </c>
      <c r="D59" s="12" t="s">
        <v>37</v>
      </c>
      <c r="E59" s="12" t="s">
        <v>36</v>
      </c>
      <c r="F59" s="13">
        <v>619.5</v>
      </c>
      <c r="G59" s="2" t="s">
        <v>7</v>
      </c>
      <c r="H59" s="12" t="s">
        <v>21</v>
      </c>
      <c r="I59" s="2" t="s">
        <v>22</v>
      </c>
      <c r="J59" t="s">
        <v>20</v>
      </c>
    </row>
    <row r="60" spans="1:10" x14ac:dyDescent="0.25">
      <c r="A60" s="10"/>
      <c r="B60" s="15">
        <v>45877</v>
      </c>
      <c r="C60" s="12" t="s">
        <v>116</v>
      </c>
      <c r="D60" s="12" t="s">
        <v>37</v>
      </c>
      <c r="E60" s="12" t="s">
        <v>36</v>
      </c>
      <c r="F60" s="13">
        <v>276</v>
      </c>
      <c r="G60" s="2" t="s">
        <v>7</v>
      </c>
      <c r="H60" s="12" t="s">
        <v>21</v>
      </c>
      <c r="I60" s="2" t="s">
        <v>24</v>
      </c>
      <c r="J60" t="s">
        <v>20</v>
      </c>
    </row>
    <row r="61" spans="1:10" x14ac:dyDescent="0.25">
      <c r="A61" s="10"/>
      <c r="B61" s="15">
        <v>45882</v>
      </c>
      <c r="C61" s="12" t="s">
        <v>48</v>
      </c>
      <c r="D61" s="12" t="s">
        <v>37</v>
      </c>
      <c r="E61" s="12" t="s">
        <v>36</v>
      </c>
      <c r="F61" s="13">
        <v>1338.75</v>
      </c>
      <c r="G61" s="2" t="s">
        <v>7</v>
      </c>
      <c r="H61" s="12" t="s">
        <v>21</v>
      </c>
      <c r="I61" s="2" t="s">
        <v>22</v>
      </c>
      <c r="J61" t="s">
        <v>20</v>
      </c>
    </row>
    <row r="62" spans="1:10" x14ac:dyDescent="0.25">
      <c r="A62" s="10"/>
      <c r="B62" s="15">
        <v>45882</v>
      </c>
      <c r="C62" s="12" t="s">
        <v>73</v>
      </c>
      <c r="D62" s="12" t="s">
        <v>37</v>
      </c>
      <c r="E62" s="12" t="s">
        <v>36</v>
      </c>
      <c r="F62" s="13">
        <v>214</v>
      </c>
      <c r="G62" s="2" t="s">
        <v>7</v>
      </c>
      <c r="H62" s="12" t="s">
        <v>21</v>
      </c>
      <c r="I62" s="2" t="s">
        <v>76</v>
      </c>
      <c r="J62" t="s">
        <v>20</v>
      </c>
    </row>
    <row r="63" spans="1:10" s="14" customFormat="1" x14ac:dyDescent="0.25">
      <c r="A63" s="10"/>
      <c r="B63" s="15">
        <v>45882</v>
      </c>
      <c r="C63" s="12" t="s">
        <v>128</v>
      </c>
      <c r="D63" s="12" t="s">
        <v>37</v>
      </c>
      <c r="E63" s="12" t="s">
        <v>36</v>
      </c>
      <c r="F63" s="13">
        <v>684.66</v>
      </c>
      <c r="G63" s="2" t="s">
        <v>7</v>
      </c>
      <c r="H63" s="12" t="s">
        <v>21</v>
      </c>
      <c r="I63" s="2" t="s">
        <v>58</v>
      </c>
      <c r="J63" s="14" t="s">
        <v>20</v>
      </c>
    </row>
    <row r="64" spans="1:10" s="14" customFormat="1" x14ac:dyDescent="0.25">
      <c r="A64" s="10"/>
      <c r="B64" s="15">
        <v>45882</v>
      </c>
      <c r="C64" s="12" t="s">
        <v>129</v>
      </c>
      <c r="D64" s="12" t="s">
        <v>37</v>
      </c>
      <c r="E64" s="12" t="s">
        <v>36</v>
      </c>
      <c r="F64" s="13">
        <v>300</v>
      </c>
      <c r="G64" s="2" t="s">
        <v>7</v>
      </c>
      <c r="H64" s="12" t="s">
        <v>21</v>
      </c>
      <c r="I64" s="2" t="s">
        <v>24</v>
      </c>
      <c r="J64" s="14" t="s">
        <v>20</v>
      </c>
    </row>
    <row r="65" spans="1:10" x14ac:dyDescent="0.25">
      <c r="A65" s="10"/>
      <c r="B65" s="15">
        <v>45880</v>
      </c>
      <c r="C65" s="12" t="s">
        <v>122</v>
      </c>
      <c r="D65" s="12" t="s">
        <v>37</v>
      </c>
      <c r="E65" s="12" t="s">
        <v>36</v>
      </c>
      <c r="F65" s="13">
        <v>214</v>
      </c>
      <c r="G65" s="2" t="s">
        <v>7</v>
      </c>
      <c r="H65" s="12" t="s">
        <v>21</v>
      </c>
      <c r="I65" s="2" t="s">
        <v>30</v>
      </c>
      <c r="J65" t="s">
        <v>20</v>
      </c>
    </row>
    <row r="66" spans="1:10" s="14" customFormat="1" x14ac:dyDescent="0.25">
      <c r="A66" s="10"/>
      <c r="B66" s="15">
        <v>45883</v>
      </c>
      <c r="C66" s="12" t="s">
        <v>132</v>
      </c>
      <c r="D66" s="12" t="s">
        <v>61</v>
      </c>
      <c r="E66" s="12" t="s">
        <v>36</v>
      </c>
      <c r="F66" s="13">
        <v>899.33</v>
      </c>
      <c r="G66" s="2" t="s">
        <v>7</v>
      </c>
      <c r="H66" s="12" t="s">
        <v>131</v>
      </c>
      <c r="I66" s="2" t="s">
        <v>26</v>
      </c>
      <c r="J66" s="14" t="s">
        <v>20</v>
      </c>
    </row>
    <row r="67" spans="1:10" x14ac:dyDescent="0.25">
      <c r="A67" s="10"/>
      <c r="B67" s="15">
        <v>45884</v>
      </c>
      <c r="C67" s="12" t="s">
        <v>138</v>
      </c>
      <c r="D67" s="12" t="s">
        <v>37</v>
      </c>
      <c r="E67" s="12" t="s">
        <v>36</v>
      </c>
      <c r="F67" s="13">
        <v>419.5</v>
      </c>
      <c r="G67" s="2" t="s">
        <v>7</v>
      </c>
      <c r="H67" s="12" t="s">
        <v>21</v>
      </c>
      <c r="I67" s="2" t="s">
        <v>26</v>
      </c>
      <c r="J67" t="s">
        <v>20</v>
      </c>
    </row>
    <row r="68" spans="1:10" x14ac:dyDescent="0.25">
      <c r="A68" s="10"/>
      <c r="B68" s="15">
        <v>45880</v>
      </c>
      <c r="C68" s="12" t="s">
        <v>123</v>
      </c>
      <c r="D68" s="12" t="s">
        <v>37</v>
      </c>
      <c r="E68" s="12" t="s">
        <v>36</v>
      </c>
      <c r="F68" s="13">
        <v>300</v>
      </c>
      <c r="G68" s="2" t="s">
        <v>7</v>
      </c>
      <c r="H68" s="12" t="s">
        <v>21</v>
      </c>
      <c r="I68" s="2" t="s">
        <v>71</v>
      </c>
      <c r="J68" t="s">
        <v>20</v>
      </c>
    </row>
    <row r="69" spans="1:10" s="14" customFormat="1" x14ac:dyDescent="0.25">
      <c r="A69" s="10"/>
      <c r="B69" s="15">
        <v>45883</v>
      </c>
      <c r="C69" s="12" t="s">
        <v>130</v>
      </c>
      <c r="D69" s="12" t="s">
        <v>52</v>
      </c>
      <c r="E69" s="12" t="s">
        <v>36</v>
      </c>
      <c r="F69" s="13">
        <v>306.89</v>
      </c>
      <c r="G69" s="2" t="s">
        <v>7</v>
      </c>
      <c r="H69" s="12" t="s">
        <v>21</v>
      </c>
      <c r="I69" s="2"/>
      <c r="J69" s="14" t="s">
        <v>20</v>
      </c>
    </row>
    <row r="70" spans="1:10" x14ac:dyDescent="0.25">
      <c r="A70" s="10"/>
      <c r="B70" s="15">
        <v>45887</v>
      </c>
      <c r="C70" s="12" t="s">
        <v>141</v>
      </c>
      <c r="D70" s="12" t="s">
        <v>37</v>
      </c>
      <c r="E70" s="12" t="s">
        <v>36</v>
      </c>
      <c r="F70" s="13">
        <v>137.5</v>
      </c>
      <c r="G70" s="2" t="s">
        <v>7</v>
      </c>
      <c r="H70" s="12" t="s">
        <v>21</v>
      </c>
      <c r="I70" s="2" t="s">
        <v>90</v>
      </c>
      <c r="J70" t="s">
        <v>20</v>
      </c>
    </row>
    <row r="71" spans="1:10" x14ac:dyDescent="0.25">
      <c r="A71" s="10"/>
      <c r="B71" s="15">
        <v>45887</v>
      </c>
      <c r="C71" s="12" t="s">
        <v>142</v>
      </c>
      <c r="D71" s="12" t="s">
        <v>37</v>
      </c>
      <c r="E71" s="12" t="s">
        <v>36</v>
      </c>
      <c r="F71" s="13">
        <v>496.75</v>
      </c>
      <c r="G71" s="2" t="s">
        <v>7</v>
      </c>
      <c r="H71" s="12" t="s">
        <v>21</v>
      </c>
      <c r="I71" s="2" t="s">
        <v>90</v>
      </c>
      <c r="J71" t="s">
        <v>20</v>
      </c>
    </row>
    <row r="72" spans="1:10" s="14" customFormat="1" x14ac:dyDescent="0.25">
      <c r="A72" s="10"/>
      <c r="B72" s="15">
        <v>45884</v>
      </c>
      <c r="C72" s="12" t="s">
        <v>137</v>
      </c>
      <c r="D72" s="12" t="s">
        <v>37</v>
      </c>
      <c r="E72" s="12" t="s">
        <v>36</v>
      </c>
      <c r="F72" s="13">
        <v>128</v>
      </c>
      <c r="G72" s="2" t="s">
        <v>7</v>
      </c>
      <c r="H72" s="12" t="s">
        <v>21</v>
      </c>
      <c r="I72" s="2" t="s">
        <v>90</v>
      </c>
      <c r="J72" s="14" t="s">
        <v>20</v>
      </c>
    </row>
    <row r="73" spans="1:10" x14ac:dyDescent="0.25">
      <c r="A73" s="10"/>
      <c r="B73" s="15">
        <v>45884</v>
      </c>
      <c r="C73" s="12" t="s">
        <v>137</v>
      </c>
      <c r="D73" s="12" t="s">
        <v>37</v>
      </c>
      <c r="E73" s="12" t="s">
        <v>36</v>
      </c>
      <c r="F73" s="13">
        <v>191.9</v>
      </c>
      <c r="G73" s="2" t="s">
        <v>7</v>
      </c>
      <c r="H73" s="12" t="s">
        <v>21</v>
      </c>
      <c r="I73" s="2" t="s">
        <v>90</v>
      </c>
      <c r="J73" t="s">
        <v>20</v>
      </c>
    </row>
    <row r="74" spans="1:10" x14ac:dyDescent="0.25">
      <c r="A74" s="10"/>
      <c r="B74" s="15">
        <v>45887</v>
      </c>
      <c r="C74" s="12" t="s">
        <v>144</v>
      </c>
      <c r="D74" s="12" t="s">
        <v>37</v>
      </c>
      <c r="E74" s="12" t="s">
        <v>36</v>
      </c>
      <c r="F74" s="13">
        <v>407.25</v>
      </c>
      <c r="G74" s="2" t="s">
        <v>7</v>
      </c>
      <c r="H74" s="12" t="s">
        <v>21</v>
      </c>
      <c r="I74" s="2" t="s">
        <v>43</v>
      </c>
      <c r="J74" t="s">
        <v>20</v>
      </c>
    </row>
    <row r="75" spans="1:10" x14ac:dyDescent="0.25">
      <c r="A75" s="10"/>
      <c r="B75" s="15">
        <v>45887</v>
      </c>
      <c r="C75" s="12" t="s">
        <v>143</v>
      </c>
      <c r="D75" s="12" t="s">
        <v>37</v>
      </c>
      <c r="E75" s="12" t="s">
        <v>36</v>
      </c>
      <c r="F75" s="13">
        <v>400</v>
      </c>
      <c r="G75" s="2" t="s">
        <v>7</v>
      </c>
      <c r="H75" s="12" t="s">
        <v>21</v>
      </c>
      <c r="I75" s="2" t="s">
        <v>45</v>
      </c>
      <c r="J75" t="s">
        <v>20</v>
      </c>
    </row>
    <row r="76" spans="1:10" x14ac:dyDescent="0.25">
      <c r="A76" s="10"/>
      <c r="B76" s="15">
        <v>45887</v>
      </c>
      <c r="C76" s="12" t="s">
        <v>140</v>
      </c>
      <c r="D76" s="12" t="s">
        <v>37</v>
      </c>
      <c r="E76" s="12" t="s">
        <v>36</v>
      </c>
      <c r="F76" s="13">
        <v>929.66</v>
      </c>
      <c r="G76" s="2" t="s">
        <v>7</v>
      </c>
      <c r="H76" s="12" t="s">
        <v>21</v>
      </c>
      <c r="I76" s="2" t="s">
        <v>24</v>
      </c>
      <c r="J76" t="s">
        <v>20</v>
      </c>
    </row>
    <row r="77" spans="1:10" x14ac:dyDescent="0.25">
      <c r="A77" s="10"/>
      <c r="B77" s="15">
        <v>45887</v>
      </c>
      <c r="C77" s="12" t="s">
        <v>49</v>
      </c>
      <c r="D77" s="12" t="s">
        <v>88</v>
      </c>
      <c r="E77" s="12" t="s">
        <v>36</v>
      </c>
      <c r="F77" s="13">
        <v>1874.02</v>
      </c>
      <c r="G77" s="2" t="s">
        <v>7</v>
      </c>
      <c r="H77" s="12" t="s">
        <v>21</v>
      </c>
      <c r="I77" s="2" t="s">
        <v>42</v>
      </c>
      <c r="J77" t="s">
        <v>20</v>
      </c>
    </row>
    <row r="78" spans="1:10" x14ac:dyDescent="0.25">
      <c r="A78" s="10"/>
      <c r="B78" s="15">
        <v>45887</v>
      </c>
      <c r="C78" s="12" t="s">
        <v>145</v>
      </c>
      <c r="D78" s="12" t="s">
        <v>37</v>
      </c>
      <c r="E78" s="12" t="s">
        <v>36</v>
      </c>
      <c r="F78" s="13">
        <v>410</v>
      </c>
      <c r="G78" s="2" t="s">
        <v>7</v>
      </c>
      <c r="H78" s="12" t="s">
        <v>21</v>
      </c>
      <c r="I78" s="2" t="s">
        <v>90</v>
      </c>
      <c r="J78" t="s">
        <v>20</v>
      </c>
    </row>
    <row r="79" spans="1:10" x14ac:dyDescent="0.25">
      <c r="A79" s="10"/>
      <c r="B79" s="15">
        <v>45887</v>
      </c>
      <c r="C79" s="12" t="s">
        <v>147</v>
      </c>
      <c r="D79" s="12" t="s">
        <v>40</v>
      </c>
      <c r="E79" s="12" t="s">
        <v>36</v>
      </c>
      <c r="F79" s="13">
        <v>676.66</v>
      </c>
      <c r="G79" s="2" t="s">
        <v>7</v>
      </c>
      <c r="H79" s="12" t="s">
        <v>21</v>
      </c>
      <c r="I79" s="2" t="s">
        <v>24</v>
      </c>
      <c r="J79" t="s">
        <v>20</v>
      </c>
    </row>
    <row r="80" spans="1:10" x14ac:dyDescent="0.25">
      <c r="A80" s="10"/>
      <c r="B80" s="15">
        <v>45889</v>
      </c>
      <c r="C80" s="12" t="s">
        <v>150</v>
      </c>
      <c r="D80" s="12" t="s">
        <v>61</v>
      </c>
      <c r="E80" s="12" t="s">
        <v>36</v>
      </c>
      <c r="F80" s="13">
        <v>633.34</v>
      </c>
      <c r="G80" s="2" t="s">
        <v>7</v>
      </c>
      <c r="H80" s="2" t="s">
        <v>21</v>
      </c>
      <c r="I80" s="2" t="s">
        <v>76</v>
      </c>
      <c r="J80" s="14" t="s">
        <v>20</v>
      </c>
    </row>
    <row r="81" spans="1:10" x14ac:dyDescent="0.25">
      <c r="A81" s="10"/>
      <c r="B81" s="15">
        <v>45889</v>
      </c>
      <c r="C81" s="12" t="s">
        <v>151</v>
      </c>
      <c r="D81" s="12" t="s">
        <v>41</v>
      </c>
      <c r="E81" s="12" t="s">
        <v>36</v>
      </c>
      <c r="F81" s="13">
        <v>575</v>
      </c>
      <c r="G81" s="2" t="s">
        <v>7</v>
      </c>
      <c r="H81" s="12" t="s">
        <v>21</v>
      </c>
      <c r="I81" s="2" t="s">
        <v>26</v>
      </c>
      <c r="J81" t="s">
        <v>20</v>
      </c>
    </row>
    <row r="82" spans="1:10" x14ac:dyDescent="0.25">
      <c r="A82" s="10"/>
      <c r="B82" s="15">
        <v>45889</v>
      </c>
      <c r="C82" s="12" t="s">
        <v>152</v>
      </c>
      <c r="D82" s="12" t="s">
        <v>37</v>
      </c>
      <c r="E82" s="12" t="s">
        <v>36</v>
      </c>
      <c r="F82" s="13">
        <v>350</v>
      </c>
      <c r="G82" s="2" t="s">
        <v>7</v>
      </c>
      <c r="H82" s="12" t="s">
        <v>21</v>
      </c>
      <c r="I82" s="2" t="s">
        <v>26</v>
      </c>
      <c r="J82" t="s">
        <v>20</v>
      </c>
    </row>
    <row r="83" spans="1:10" x14ac:dyDescent="0.25">
      <c r="A83" s="10"/>
      <c r="B83" s="15">
        <v>45890</v>
      </c>
      <c r="C83" s="12" t="s">
        <v>153</v>
      </c>
      <c r="D83" s="12" t="s">
        <v>61</v>
      </c>
      <c r="E83" s="12" t="s">
        <v>36</v>
      </c>
      <c r="F83" s="13">
        <v>717.46</v>
      </c>
      <c r="G83" s="2" t="s">
        <v>7</v>
      </c>
      <c r="H83" s="12" t="s">
        <v>21</v>
      </c>
      <c r="I83" s="2" t="s">
        <v>24</v>
      </c>
      <c r="J83" t="s">
        <v>20</v>
      </c>
    </row>
    <row r="84" spans="1:10" x14ac:dyDescent="0.25">
      <c r="A84" s="10"/>
      <c r="B84" s="15">
        <v>45889</v>
      </c>
      <c r="C84" s="12" t="s">
        <v>148</v>
      </c>
      <c r="D84" s="12" t="s">
        <v>37</v>
      </c>
      <c r="E84" s="12" t="s">
        <v>36</v>
      </c>
      <c r="F84" s="13">
        <v>217</v>
      </c>
      <c r="G84" s="2" t="s">
        <v>7</v>
      </c>
      <c r="H84" s="12" t="s">
        <v>21</v>
      </c>
      <c r="I84" s="2" t="s">
        <v>26</v>
      </c>
      <c r="J84" t="s">
        <v>20</v>
      </c>
    </row>
    <row r="85" spans="1:10" x14ac:dyDescent="0.25">
      <c r="A85" s="10"/>
      <c r="B85" s="15">
        <v>45889</v>
      </c>
      <c r="C85" s="12" t="s">
        <v>54</v>
      </c>
      <c r="D85" s="12" t="s">
        <v>37</v>
      </c>
      <c r="E85" s="12" t="s">
        <v>36</v>
      </c>
      <c r="F85" s="13">
        <v>400.25</v>
      </c>
      <c r="G85" s="2" t="s">
        <v>7</v>
      </c>
      <c r="H85" s="12" t="s">
        <v>21</v>
      </c>
      <c r="I85" s="2" t="s">
        <v>13</v>
      </c>
      <c r="J85" t="s">
        <v>20</v>
      </c>
    </row>
    <row r="86" spans="1:10" x14ac:dyDescent="0.25">
      <c r="A86" s="10"/>
      <c r="B86" s="15">
        <v>45890</v>
      </c>
      <c r="C86" s="12" t="s">
        <v>154</v>
      </c>
      <c r="D86" s="12" t="s">
        <v>37</v>
      </c>
      <c r="E86" s="12" t="s">
        <v>36</v>
      </c>
      <c r="F86" s="13">
        <v>860</v>
      </c>
      <c r="G86" s="2" t="s">
        <v>7</v>
      </c>
      <c r="H86" s="12" t="s">
        <v>131</v>
      </c>
      <c r="I86" s="2" t="s">
        <v>76</v>
      </c>
      <c r="J86" t="s">
        <v>20</v>
      </c>
    </row>
    <row r="87" spans="1:10" x14ac:dyDescent="0.25">
      <c r="A87" s="10"/>
      <c r="B87" s="15">
        <v>45890</v>
      </c>
      <c r="C87" s="12" t="s">
        <v>155</v>
      </c>
      <c r="D87" s="12" t="s">
        <v>37</v>
      </c>
      <c r="E87" s="12" t="s">
        <v>36</v>
      </c>
      <c r="F87" s="13">
        <v>154.66999999999999</v>
      </c>
      <c r="G87" s="2" t="s">
        <v>7</v>
      </c>
      <c r="H87" s="12" t="s">
        <v>21</v>
      </c>
      <c r="I87" s="2" t="s">
        <v>71</v>
      </c>
      <c r="J87" t="s">
        <v>20</v>
      </c>
    </row>
    <row r="88" spans="1:10" x14ac:dyDescent="0.25">
      <c r="A88" s="10"/>
      <c r="B88" s="15">
        <v>45890</v>
      </c>
      <c r="C88" s="12" t="s">
        <v>97</v>
      </c>
      <c r="D88" s="12" t="s">
        <v>37</v>
      </c>
      <c r="E88" s="12" t="s">
        <v>36</v>
      </c>
      <c r="F88" s="13">
        <v>217.25</v>
      </c>
      <c r="G88" s="2" t="s">
        <v>7</v>
      </c>
      <c r="H88" s="12" t="s">
        <v>21</v>
      </c>
      <c r="I88" s="2" t="s">
        <v>26</v>
      </c>
      <c r="J88" t="s">
        <v>20</v>
      </c>
    </row>
    <row r="89" spans="1:10" x14ac:dyDescent="0.25">
      <c r="A89" s="10"/>
      <c r="B89" s="15">
        <v>45890</v>
      </c>
      <c r="C89" s="12" t="s">
        <v>156</v>
      </c>
      <c r="D89" s="12" t="s">
        <v>41</v>
      </c>
      <c r="E89" s="12" t="s">
        <v>36</v>
      </c>
      <c r="F89" s="13">
        <v>839.84</v>
      </c>
      <c r="G89" s="2" t="s">
        <v>7</v>
      </c>
      <c r="H89" s="12" t="s">
        <v>21</v>
      </c>
      <c r="I89" s="2" t="s">
        <v>16</v>
      </c>
      <c r="J89" t="s">
        <v>20</v>
      </c>
    </row>
    <row r="90" spans="1:10" x14ac:dyDescent="0.25">
      <c r="A90" s="10"/>
      <c r="B90" s="15">
        <v>45890</v>
      </c>
      <c r="C90" s="12" t="s">
        <v>157</v>
      </c>
      <c r="D90" s="12" t="s">
        <v>61</v>
      </c>
      <c r="E90" s="12" t="s">
        <v>36</v>
      </c>
      <c r="F90" s="13">
        <v>950.16</v>
      </c>
      <c r="G90" s="2" t="s">
        <v>7</v>
      </c>
      <c r="H90" s="12" t="s">
        <v>21</v>
      </c>
      <c r="I90" s="2" t="s">
        <v>12</v>
      </c>
      <c r="J90" t="s">
        <v>20</v>
      </c>
    </row>
    <row r="91" spans="1:10" x14ac:dyDescent="0.25">
      <c r="A91" s="10"/>
      <c r="B91" s="15">
        <v>45890</v>
      </c>
      <c r="C91" s="12" t="s">
        <v>149</v>
      </c>
      <c r="D91" s="12" t="s">
        <v>37</v>
      </c>
      <c r="E91" s="12" t="s">
        <v>36</v>
      </c>
      <c r="F91" s="13">
        <v>520.6</v>
      </c>
      <c r="G91" s="2" t="s">
        <v>7</v>
      </c>
      <c r="H91" s="12" t="s">
        <v>21</v>
      </c>
      <c r="I91" s="2" t="s">
        <v>43</v>
      </c>
      <c r="J91" t="s">
        <v>20</v>
      </c>
    </row>
    <row r="92" spans="1:10" x14ac:dyDescent="0.25">
      <c r="A92" s="10"/>
      <c r="B92" s="15">
        <v>45891</v>
      </c>
      <c r="C92" s="12" t="s">
        <v>149</v>
      </c>
      <c r="D92" s="12" t="s">
        <v>37</v>
      </c>
      <c r="E92" s="12" t="s">
        <v>36</v>
      </c>
      <c r="F92" s="13">
        <v>421.38</v>
      </c>
      <c r="G92" s="2" t="s">
        <v>7</v>
      </c>
      <c r="H92" s="12" t="s">
        <v>21</v>
      </c>
      <c r="I92" s="2" t="s">
        <v>43</v>
      </c>
      <c r="J92" t="s">
        <v>20</v>
      </c>
    </row>
    <row r="93" spans="1:10" x14ac:dyDescent="0.25">
      <c r="A93" s="10"/>
      <c r="B93" s="15">
        <v>45890</v>
      </c>
      <c r="C93" s="12" t="s">
        <v>158</v>
      </c>
      <c r="D93" s="12" t="s">
        <v>40</v>
      </c>
      <c r="E93" s="12" t="s">
        <v>36</v>
      </c>
      <c r="F93" s="13">
        <v>600</v>
      </c>
      <c r="G93" s="2" t="s">
        <v>7</v>
      </c>
      <c r="H93" s="12" t="s">
        <v>21</v>
      </c>
      <c r="I93" s="2" t="s">
        <v>11</v>
      </c>
      <c r="J93" t="s">
        <v>20</v>
      </c>
    </row>
    <row r="94" spans="1:10" s="14" customFormat="1" x14ac:dyDescent="0.25">
      <c r="A94" s="10"/>
      <c r="B94" s="15">
        <v>45890</v>
      </c>
      <c r="C94" s="12" t="s">
        <v>159</v>
      </c>
      <c r="D94" s="12" t="s">
        <v>40</v>
      </c>
      <c r="E94" s="12" t="s">
        <v>36</v>
      </c>
      <c r="F94" s="13">
        <v>300</v>
      </c>
      <c r="G94" s="2" t="s">
        <v>7</v>
      </c>
      <c r="H94" s="12" t="s">
        <v>21</v>
      </c>
      <c r="I94" s="2" t="s">
        <v>11</v>
      </c>
      <c r="J94" s="14" t="s">
        <v>20</v>
      </c>
    </row>
    <row r="95" spans="1:10" x14ac:dyDescent="0.25">
      <c r="A95" s="10"/>
      <c r="B95" s="15">
        <v>45890</v>
      </c>
      <c r="C95" s="12" t="s">
        <v>83</v>
      </c>
      <c r="D95" s="12" t="s">
        <v>37</v>
      </c>
      <c r="E95" s="12" t="s">
        <v>36</v>
      </c>
      <c r="F95" s="13">
        <v>645.5</v>
      </c>
      <c r="G95" s="2" t="s">
        <v>7</v>
      </c>
      <c r="H95" s="12" t="s">
        <v>21</v>
      </c>
      <c r="I95" s="2" t="s">
        <v>84</v>
      </c>
      <c r="J95" t="s">
        <v>20</v>
      </c>
    </row>
    <row r="96" spans="1:10" s="14" customFormat="1" x14ac:dyDescent="0.25">
      <c r="A96" s="10"/>
      <c r="B96" s="15">
        <v>45890</v>
      </c>
      <c r="C96" s="12" t="s">
        <v>160</v>
      </c>
      <c r="D96" s="12" t="s">
        <v>61</v>
      </c>
      <c r="E96" s="12" t="s">
        <v>36</v>
      </c>
      <c r="F96" s="13">
        <v>933.34</v>
      </c>
      <c r="G96" s="2" t="s">
        <v>7</v>
      </c>
      <c r="H96" s="12" t="s">
        <v>21</v>
      </c>
      <c r="I96" s="2" t="s">
        <v>24</v>
      </c>
      <c r="J96" s="14" t="s">
        <v>20</v>
      </c>
    </row>
    <row r="97" spans="1:10" x14ac:dyDescent="0.25">
      <c r="A97" s="10"/>
      <c r="B97" s="15">
        <v>45890</v>
      </c>
      <c r="C97" s="12" t="s">
        <v>162</v>
      </c>
      <c r="D97" s="12" t="s">
        <v>37</v>
      </c>
      <c r="E97" s="12" t="s">
        <v>36</v>
      </c>
      <c r="F97" s="13">
        <v>160</v>
      </c>
      <c r="G97" s="2" t="s">
        <v>7</v>
      </c>
      <c r="H97" s="12" t="s">
        <v>21</v>
      </c>
      <c r="I97" s="2" t="s">
        <v>11</v>
      </c>
      <c r="J97" t="s">
        <v>20</v>
      </c>
    </row>
    <row r="98" spans="1:10" x14ac:dyDescent="0.25">
      <c r="A98" s="10"/>
      <c r="B98" s="15">
        <v>45890</v>
      </c>
      <c r="C98" s="12" t="s">
        <v>161</v>
      </c>
      <c r="D98" s="12" t="s">
        <v>37</v>
      </c>
      <c r="E98" s="12" t="s">
        <v>36</v>
      </c>
      <c r="F98" s="13">
        <v>194</v>
      </c>
      <c r="G98" s="2" t="s">
        <v>7</v>
      </c>
      <c r="H98" s="12" t="s">
        <v>21</v>
      </c>
      <c r="I98" s="2" t="s">
        <v>51</v>
      </c>
      <c r="J98" t="s">
        <v>20</v>
      </c>
    </row>
    <row r="99" spans="1:10" x14ac:dyDescent="0.25">
      <c r="A99" s="10"/>
      <c r="B99" s="15">
        <v>45894</v>
      </c>
      <c r="C99" s="12" t="s">
        <v>60</v>
      </c>
      <c r="D99" s="12" t="s">
        <v>88</v>
      </c>
      <c r="E99" s="12" t="s">
        <v>36</v>
      </c>
      <c r="F99" s="13">
        <v>2899.71</v>
      </c>
      <c r="G99" s="2" t="s">
        <v>7</v>
      </c>
      <c r="H99" s="12" t="s">
        <v>46</v>
      </c>
      <c r="I99" s="2" t="s">
        <v>42</v>
      </c>
      <c r="J99" t="s">
        <v>20</v>
      </c>
    </row>
    <row r="100" spans="1:10" s="14" customFormat="1" x14ac:dyDescent="0.25">
      <c r="A100" s="10"/>
      <c r="B100" s="15">
        <v>45894</v>
      </c>
      <c r="C100" s="12" t="s">
        <v>164</v>
      </c>
      <c r="D100" s="12" t="s">
        <v>37</v>
      </c>
      <c r="E100" s="12" t="s">
        <v>36</v>
      </c>
      <c r="F100" s="13">
        <v>102</v>
      </c>
      <c r="G100" s="2" t="s">
        <v>7</v>
      </c>
      <c r="H100" s="12" t="s">
        <v>23</v>
      </c>
      <c r="I100" s="2" t="s">
        <v>57</v>
      </c>
      <c r="J100" s="14" t="s">
        <v>20</v>
      </c>
    </row>
    <row r="101" spans="1:10" x14ac:dyDescent="0.25">
      <c r="A101" s="10"/>
      <c r="B101" s="15">
        <v>45897</v>
      </c>
      <c r="C101" s="12" t="s">
        <v>170</v>
      </c>
      <c r="D101" s="12" t="s">
        <v>37</v>
      </c>
      <c r="E101" s="12" t="s">
        <v>36</v>
      </c>
      <c r="F101" s="13">
        <v>282</v>
      </c>
      <c r="G101" s="2" t="s">
        <v>7</v>
      </c>
      <c r="H101" s="12" t="s">
        <v>21</v>
      </c>
      <c r="I101" s="2" t="s">
        <v>24</v>
      </c>
      <c r="J101" t="s">
        <v>20</v>
      </c>
    </row>
    <row r="102" spans="1:10" x14ac:dyDescent="0.25">
      <c r="A102" s="10"/>
      <c r="B102" s="15">
        <v>45894</v>
      </c>
      <c r="C102" s="12" t="s">
        <v>165</v>
      </c>
      <c r="D102" s="12" t="s">
        <v>41</v>
      </c>
      <c r="E102" s="12" t="s">
        <v>36</v>
      </c>
      <c r="F102" s="13">
        <v>120</v>
      </c>
      <c r="G102" s="2" t="s">
        <v>7</v>
      </c>
      <c r="H102" s="12" t="s">
        <v>21</v>
      </c>
      <c r="I102" s="2" t="s">
        <v>16</v>
      </c>
      <c r="J102" t="s">
        <v>20</v>
      </c>
    </row>
    <row r="103" spans="1:10" x14ac:dyDescent="0.25">
      <c r="A103" s="10"/>
      <c r="B103" s="15">
        <v>45896</v>
      </c>
      <c r="C103" s="12" t="s">
        <v>169</v>
      </c>
      <c r="D103" s="12" t="s">
        <v>86</v>
      </c>
      <c r="E103" s="12" t="s">
        <v>36</v>
      </c>
      <c r="F103" s="13">
        <v>3300</v>
      </c>
      <c r="G103" s="2" t="s">
        <v>7</v>
      </c>
      <c r="H103" s="12" t="s">
        <v>46</v>
      </c>
      <c r="I103" s="2" t="s">
        <v>12</v>
      </c>
      <c r="J103" t="s">
        <v>20</v>
      </c>
    </row>
    <row r="104" spans="1:10" x14ac:dyDescent="0.25">
      <c r="A104" s="10"/>
      <c r="B104" s="15">
        <v>45895</v>
      </c>
      <c r="C104" s="12" t="s">
        <v>167</v>
      </c>
      <c r="D104" s="12" t="s">
        <v>37</v>
      </c>
      <c r="E104" s="12" t="s">
        <v>36</v>
      </c>
      <c r="F104" s="13">
        <v>287.5</v>
      </c>
      <c r="G104" s="2" t="s">
        <v>7</v>
      </c>
      <c r="H104" s="12" t="s">
        <v>21</v>
      </c>
      <c r="I104" s="2" t="s">
        <v>45</v>
      </c>
      <c r="J104" t="s">
        <v>20</v>
      </c>
    </row>
    <row r="105" spans="1:10" x14ac:dyDescent="0.25">
      <c r="A105" s="10"/>
      <c r="B105" s="15">
        <v>45896</v>
      </c>
      <c r="C105" s="12" t="s">
        <v>166</v>
      </c>
      <c r="D105" s="12" t="s">
        <v>37</v>
      </c>
      <c r="E105" s="12" t="s">
        <v>36</v>
      </c>
      <c r="F105" s="13">
        <v>126.29</v>
      </c>
      <c r="G105" s="2" t="s">
        <v>7</v>
      </c>
      <c r="H105" s="2" t="s">
        <v>131</v>
      </c>
      <c r="I105" s="2" t="s">
        <v>45</v>
      </c>
      <c r="J105" t="s">
        <v>20</v>
      </c>
    </row>
    <row r="106" spans="1:10" x14ac:dyDescent="0.25">
      <c r="A106" s="10"/>
      <c r="B106" s="15">
        <v>45897</v>
      </c>
      <c r="C106" s="12" t="s">
        <v>171</v>
      </c>
      <c r="D106" s="12" t="s">
        <v>52</v>
      </c>
      <c r="E106" s="12" t="s">
        <v>36</v>
      </c>
      <c r="F106" s="13">
        <v>336.25</v>
      </c>
      <c r="G106" s="2" t="s">
        <v>7</v>
      </c>
      <c r="H106" s="2" t="s">
        <v>21</v>
      </c>
      <c r="I106" s="2" t="s">
        <v>172</v>
      </c>
      <c r="J106" t="s">
        <v>20</v>
      </c>
    </row>
    <row r="107" spans="1:10" x14ac:dyDescent="0.25">
      <c r="A107" s="10"/>
      <c r="B107" s="15">
        <v>45897</v>
      </c>
      <c r="C107" s="12" t="s">
        <v>174</v>
      </c>
      <c r="D107" s="12" t="s">
        <v>41</v>
      </c>
      <c r="E107" s="12" t="s">
        <v>36</v>
      </c>
      <c r="F107" s="13">
        <v>7070.85</v>
      </c>
      <c r="G107" s="2" t="s">
        <v>7</v>
      </c>
      <c r="H107" s="2" t="s">
        <v>21</v>
      </c>
      <c r="I107" s="2" t="s">
        <v>26</v>
      </c>
      <c r="J107" t="s">
        <v>20</v>
      </c>
    </row>
    <row r="108" spans="1:10" x14ac:dyDescent="0.25">
      <c r="A108" s="10"/>
      <c r="B108" s="15">
        <v>45897</v>
      </c>
      <c r="C108" s="12" t="s">
        <v>175</v>
      </c>
      <c r="D108" s="12" t="s">
        <v>40</v>
      </c>
      <c r="E108" s="12" t="s">
        <v>36</v>
      </c>
      <c r="F108" s="13">
        <v>460</v>
      </c>
      <c r="G108" s="2" t="s">
        <v>7</v>
      </c>
      <c r="H108" s="2" t="s">
        <v>21</v>
      </c>
      <c r="I108" s="2" t="s">
        <v>16</v>
      </c>
      <c r="J108" t="s">
        <v>20</v>
      </c>
    </row>
    <row r="109" spans="1:10" x14ac:dyDescent="0.25">
      <c r="A109" s="10"/>
      <c r="B109" s="15">
        <v>45897</v>
      </c>
      <c r="C109" s="12" t="s">
        <v>176</v>
      </c>
      <c r="D109" s="12" t="s">
        <v>40</v>
      </c>
      <c r="E109" s="12" t="s">
        <v>36</v>
      </c>
      <c r="F109" s="13">
        <v>526.66</v>
      </c>
      <c r="G109" s="2" t="s">
        <v>7</v>
      </c>
      <c r="H109" s="2" t="s">
        <v>21</v>
      </c>
      <c r="I109" s="2" t="s">
        <v>45</v>
      </c>
      <c r="J109" t="s">
        <v>20</v>
      </c>
    </row>
    <row r="110" spans="1:10" x14ac:dyDescent="0.25">
      <c r="A110" s="10"/>
      <c r="B110" s="15">
        <v>45898</v>
      </c>
      <c r="C110" s="12" t="s">
        <v>177</v>
      </c>
      <c r="D110" s="12" t="s">
        <v>86</v>
      </c>
      <c r="E110" s="12" t="s">
        <v>36</v>
      </c>
      <c r="F110" s="13">
        <v>1500</v>
      </c>
      <c r="G110" s="2" t="s">
        <v>7</v>
      </c>
      <c r="H110" s="2" t="s">
        <v>46</v>
      </c>
      <c r="I110" s="2" t="s">
        <v>12</v>
      </c>
      <c r="J110" t="s">
        <v>20</v>
      </c>
    </row>
    <row r="111" spans="1:10" x14ac:dyDescent="0.25">
      <c r="A111" s="10"/>
      <c r="B111" s="15">
        <v>45898</v>
      </c>
      <c r="C111" s="12" t="s">
        <v>178</v>
      </c>
      <c r="D111" s="12" t="s">
        <v>86</v>
      </c>
      <c r="E111" s="12" t="s">
        <v>36</v>
      </c>
      <c r="F111" s="13">
        <v>898.22</v>
      </c>
      <c r="G111" s="2" t="s">
        <v>7</v>
      </c>
      <c r="H111" s="2" t="s">
        <v>21</v>
      </c>
      <c r="I111" s="2" t="s">
        <v>90</v>
      </c>
      <c r="J111" t="s">
        <v>20</v>
      </c>
    </row>
    <row r="112" spans="1:10" s="14" customFormat="1" x14ac:dyDescent="0.25">
      <c r="A112" s="10"/>
      <c r="B112" s="15">
        <v>45898</v>
      </c>
      <c r="C112" s="12" t="s">
        <v>180</v>
      </c>
      <c r="D112" s="12" t="s">
        <v>61</v>
      </c>
      <c r="E112" s="12" t="s">
        <v>36</v>
      </c>
      <c r="F112" s="13">
        <v>600</v>
      </c>
      <c r="G112" s="2" t="s">
        <v>7</v>
      </c>
      <c r="H112" s="2" t="s">
        <v>21</v>
      </c>
      <c r="I112" s="2" t="s">
        <v>24</v>
      </c>
      <c r="J112" s="14" t="s">
        <v>20</v>
      </c>
    </row>
    <row r="113" spans="1:10" s="14" customFormat="1" x14ac:dyDescent="0.25">
      <c r="A113" s="10"/>
      <c r="B113" s="15">
        <v>45898</v>
      </c>
      <c r="C113" s="12" t="s">
        <v>179</v>
      </c>
      <c r="D113" s="12" t="s">
        <v>61</v>
      </c>
      <c r="E113" s="12" t="s">
        <v>36</v>
      </c>
      <c r="F113" s="13">
        <v>300</v>
      </c>
      <c r="G113" s="2" t="s">
        <v>7</v>
      </c>
      <c r="H113" s="2" t="s">
        <v>21</v>
      </c>
      <c r="I113" s="2" t="s">
        <v>22</v>
      </c>
      <c r="J113" s="14" t="s">
        <v>20</v>
      </c>
    </row>
    <row r="114" spans="1:10" s="14" customFormat="1" x14ac:dyDescent="0.25">
      <c r="A114" s="10"/>
      <c r="B114" s="15">
        <v>45898</v>
      </c>
      <c r="C114" s="12" t="s">
        <v>181</v>
      </c>
      <c r="D114" s="12" t="s">
        <v>86</v>
      </c>
      <c r="E114" s="12" t="s">
        <v>36</v>
      </c>
      <c r="F114" s="13">
        <v>500</v>
      </c>
      <c r="G114" s="2" t="s">
        <v>7</v>
      </c>
      <c r="H114" s="2" t="s">
        <v>21</v>
      </c>
      <c r="I114" s="2"/>
      <c r="J114" s="14" t="s">
        <v>20</v>
      </c>
    </row>
    <row r="115" spans="1:10" x14ac:dyDescent="0.25">
      <c r="A115" s="10"/>
      <c r="B115" s="15"/>
      <c r="C115" s="12"/>
      <c r="D115" s="12"/>
      <c r="E115" s="12"/>
      <c r="F115" s="13"/>
      <c r="G115" s="2"/>
      <c r="H115" s="2"/>
      <c r="I115" s="2"/>
    </row>
    <row r="116" spans="1:10" x14ac:dyDescent="0.25">
      <c r="A116" s="10"/>
      <c r="B116" s="15"/>
      <c r="C116" s="12"/>
      <c r="D116" s="12"/>
      <c r="E116" s="12"/>
      <c r="F116" s="13"/>
      <c r="G116" s="2"/>
      <c r="H116" s="2"/>
      <c r="I116" s="2"/>
    </row>
    <row r="117" spans="1:10" x14ac:dyDescent="0.25">
      <c r="A117" s="10"/>
      <c r="B117" s="2"/>
      <c r="C117" s="2" t="s">
        <v>8</v>
      </c>
      <c r="D117" s="2"/>
      <c r="E117" s="2"/>
      <c r="F117" s="13">
        <f>SUM(F29:F114)</f>
        <v>58598.219999999994</v>
      </c>
      <c r="G117" s="2"/>
      <c r="H117" s="2"/>
      <c r="I117" s="2"/>
    </row>
    <row r="118" spans="1:10" x14ac:dyDescent="0.25">
      <c r="A118" s="10"/>
      <c r="B118" s="2"/>
      <c r="C118" s="2"/>
      <c r="D118" s="2"/>
      <c r="E118" s="2"/>
      <c r="F118" s="13"/>
      <c r="G118" s="2"/>
      <c r="H118" s="2"/>
      <c r="I118" s="2"/>
    </row>
  </sheetData>
  <mergeCells count="2">
    <mergeCell ref="A1:G1"/>
    <mergeCell ref="A27:G27"/>
  </mergeCells>
  <conditionalFormatting sqref="G41:H46 G8:H10 G12:H14 G67:H76 G78:H79 G81:H86 G88:H91 G16:H26 G30:H33 G35:H39 G48:H49 G51:H55 G57:H64 G93:H116">
    <cfRule type="containsText" dxfId="293" priority="208" operator="containsText" text="ATRASADO">
      <formula>NOT(ISERROR(SEARCH("ATRASADO",G8)))</formula>
    </cfRule>
    <cfRule type="containsText" dxfId="292" priority="209" operator="containsText" text="A PAGAR">
      <formula>NOT(ISERROR(SEARCH("A PAGAR",G8)))</formula>
    </cfRule>
    <cfRule type="containsText" dxfId="291" priority="210" operator="containsText" text="PAGO">
      <formula>NOT(ISERROR(SEARCH("PAGO",G8)))</formula>
    </cfRule>
  </conditionalFormatting>
  <conditionalFormatting sqref="G29">
    <cfRule type="containsText" dxfId="290" priority="142" operator="containsText" text="ATRASADO">
      <formula>NOT(ISERROR(SEARCH("ATRASADO",G29)))</formula>
    </cfRule>
    <cfRule type="containsText" dxfId="289" priority="143" operator="containsText" text="A PAGAR">
      <formula>NOT(ISERROR(SEARCH("A PAGAR",G29)))</formula>
    </cfRule>
    <cfRule type="containsText" dxfId="288" priority="144" operator="containsText" text="PAGO">
      <formula>NOT(ISERROR(SEARCH("PAGO",G29)))</formula>
    </cfRule>
  </conditionalFormatting>
  <conditionalFormatting sqref="G40:H40">
    <cfRule type="containsText" dxfId="287" priority="139" operator="containsText" text="ATRASADO">
      <formula>NOT(ISERROR(SEARCH("ATRASADO",G40)))</formula>
    </cfRule>
    <cfRule type="containsText" dxfId="286" priority="140" operator="containsText" text="A PAGAR">
      <formula>NOT(ISERROR(SEARCH("A PAGAR",G40)))</formula>
    </cfRule>
    <cfRule type="containsText" dxfId="285" priority="141" operator="containsText" text="PAGO">
      <formula>NOT(ISERROR(SEARCH("PAGO",G40)))</formula>
    </cfRule>
  </conditionalFormatting>
  <conditionalFormatting sqref="G117:H118">
    <cfRule type="containsText" dxfId="284" priority="136" operator="containsText" text="ATRASADO">
      <formula>NOT(ISERROR(SEARCH("ATRASADO",G117)))</formula>
    </cfRule>
    <cfRule type="containsText" dxfId="283" priority="137" operator="containsText" text="A PAGAR">
      <formula>NOT(ISERROR(SEARCH("A PAGAR",G117)))</formula>
    </cfRule>
    <cfRule type="containsText" dxfId="282" priority="138" operator="containsText" text="PAGO">
      <formula>NOT(ISERROR(SEARCH("PAGO",G117)))</formula>
    </cfRule>
  </conditionalFormatting>
  <conditionalFormatting sqref="G15:H15">
    <cfRule type="containsText" dxfId="281" priority="121" operator="containsText" text="ATRASADO">
      <formula>NOT(ISERROR(SEARCH("ATRASADO",G15)))</formula>
    </cfRule>
    <cfRule type="containsText" dxfId="280" priority="122" operator="containsText" text="A PAGAR">
      <formula>NOT(ISERROR(SEARCH("A PAGAR",G15)))</formula>
    </cfRule>
    <cfRule type="containsText" dxfId="279" priority="123" operator="containsText" text="PAGO">
      <formula>NOT(ISERROR(SEARCH("PAGO",G15)))</formula>
    </cfRule>
  </conditionalFormatting>
  <conditionalFormatting sqref="G87:H87">
    <cfRule type="containsText" dxfId="278" priority="118" operator="containsText" text="ATRASADO">
      <formula>NOT(ISERROR(SEARCH("ATRASADO",G87)))</formula>
    </cfRule>
    <cfRule type="containsText" dxfId="277" priority="119" operator="containsText" text="A PAGAR">
      <formula>NOT(ISERROR(SEARCH("A PAGAR",G87)))</formula>
    </cfRule>
    <cfRule type="containsText" dxfId="276" priority="120" operator="containsText" text="PAGO">
      <formula>NOT(ISERROR(SEARCH("PAGO",G87)))</formula>
    </cfRule>
  </conditionalFormatting>
  <conditionalFormatting sqref="G92:H92">
    <cfRule type="containsText" dxfId="275" priority="115" operator="containsText" text="ATRASADO">
      <formula>NOT(ISERROR(SEARCH("ATRASADO",G92)))</formula>
    </cfRule>
    <cfRule type="containsText" dxfId="274" priority="116" operator="containsText" text="A PAGAR">
      <formula>NOT(ISERROR(SEARCH("A PAGAR",G92)))</formula>
    </cfRule>
    <cfRule type="containsText" dxfId="273" priority="117" operator="containsText" text="PAGO">
      <formula>NOT(ISERROR(SEARCH("PAGO",G92)))</formula>
    </cfRule>
  </conditionalFormatting>
  <conditionalFormatting sqref="G7">
    <cfRule type="containsText" dxfId="272" priority="106" operator="containsText" text="ATRASADO">
      <formula>NOT(ISERROR(SEARCH("ATRASADO",G7)))</formula>
    </cfRule>
    <cfRule type="containsText" dxfId="271" priority="107" operator="containsText" text="A PAGAR">
      <formula>NOT(ISERROR(SEARCH("A PAGAR",G7)))</formula>
    </cfRule>
    <cfRule type="containsText" dxfId="270" priority="108" operator="containsText" text="PAGO">
      <formula>NOT(ISERROR(SEARCH("PAGO",G7)))</formula>
    </cfRule>
  </conditionalFormatting>
  <conditionalFormatting sqref="G3:H6">
    <cfRule type="containsText" dxfId="269" priority="103" operator="containsText" text="ATRASADO">
      <formula>NOT(ISERROR(SEARCH("ATRASADO",G3)))</formula>
    </cfRule>
    <cfRule type="containsText" dxfId="268" priority="104" operator="containsText" text="A PAGAR">
      <formula>NOT(ISERROR(SEARCH("A PAGAR",G3)))</formula>
    </cfRule>
    <cfRule type="containsText" dxfId="267" priority="105" operator="containsText" text="PAGO">
      <formula>NOT(ISERROR(SEARCH("PAGO",G3)))</formula>
    </cfRule>
  </conditionalFormatting>
  <conditionalFormatting sqref="G50:H50">
    <cfRule type="containsText" dxfId="266" priority="85" operator="containsText" text="ATRASADO">
      <formula>NOT(ISERROR(SEARCH("ATRASADO",G50)))</formula>
    </cfRule>
    <cfRule type="containsText" dxfId="265" priority="86" operator="containsText" text="A PAGAR">
      <formula>NOT(ISERROR(SEARCH("A PAGAR",G50)))</formula>
    </cfRule>
    <cfRule type="containsText" dxfId="264" priority="87" operator="containsText" text="PAGO">
      <formula>NOT(ISERROR(SEARCH("PAGO",G50)))</formula>
    </cfRule>
  </conditionalFormatting>
  <conditionalFormatting sqref="G11:H11">
    <cfRule type="containsText" dxfId="263" priority="82" operator="containsText" text="ATRASADO">
      <formula>NOT(ISERROR(SEARCH("ATRASADO",G11)))</formula>
    </cfRule>
    <cfRule type="containsText" dxfId="262" priority="83" operator="containsText" text="A PAGAR">
      <formula>NOT(ISERROR(SEARCH("A PAGAR",G11)))</formula>
    </cfRule>
    <cfRule type="containsText" dxfId="261" priority="84" operator="containsText" text="PAGO">
      <formula>NOT(ISERROR(SEARCH("PAGO",G11)))</formula>
    </cfRule>
  </conditionalFormatting>
  <conditionalFormatting sqref="G65:H66">
    <cfRule type="containsText" dxfId="260" priority="73" operator="containsText" text="ATRASADO">
      <formula>NOT(ISERROR(SEARCH("ATRASADO",G65)))</formula>
    </cfRule>
    <cfRule type="containsText" dxfId="259" priority="74" operator="containsText" text="A PAGAR">
      <formula>NOT(ISERROR(SEARCH("A PAGAR",G65)))</formula>
    </cfRule>
    <cfRule type="containsText" dxfId="258" priority="75" operator="containsText" text="PAGO">
      <formula>NOT(ISERROR(SEARCH("PAGO",G65)))</formula>
    </cfRule>
  </conditionalFormatting>
  <conditionalFormatting sqref="G34:H34">
    <cfRule type="containsText" dxfId="257" priority="28" operator="containsText" text="ATRASADO">
      <formula>NOT(ISERROR(SEARCH("ATRASADO",G34)))</formula>
    </cfRule>
    <cfRule type="containsText" dxfId="256" priority="29" operator="containsText" text="A PAGAR">
      <formula>NOT(ISERROR(SEARCH("A PAGAR",G34)))</formula>
    </cfRule>
    <cfRule type="containsText" dxfId="255" priority="30" operator="containsText" text="PAGO">
      <formula>NOT(ISERROR(SEARCH("PAGO",G34)))</formula>
    </cfRule>
  </conditionalFormatting>
  <conditionalFormatting sqref="G47:H47">
    <cfRule type="containsText" dxfId="254" priority="25" operator="containsText" text="ATRASADO">
      <formula>NOT(ISERROR(SEARCH("ATRASADO",G47)))</formula>
    </cfRule>
    <cfRule type="containsText" dxfId="253" priority="26" operator="containsText" text="A PAGAR">
      <formula>NOT(ISERROR(SEARCH("A PAGAR",G47)))</formula>
    </cfRule>
    <cfRule type="containsText" dxfId="252" priority="27" operator="containsText" text="PAGO">
      <formula>NOT(ISERROR(SEARCH("PAGO",G47)))</formula>
    </cfRule>
  </conditionalFormatting>
  <conditionalFormatting sqref="G56:H56">
    <cfRule type="containsText" dxfId="251" priority="19" operator="containsText" text="ATRASADO">
      <formula>NOT(ISERROR(SEARCH("ATRASADO",G56)))</formula>
    </cfRule>
    <cfRule type="containsText" dxfId="250" priority="20" operator="containsText" text="A PAGAR">
      <formula>NOT(ISERROR(SEARCH("A PAGAR",G56)))</formula>
    </cfRule>
    <cfRule type="containsText" dxfId="249" priority="21" operator="containsText" text="PAGO">
      <formula>NOT(ISERROR(SEARCH("PAGO",G56)))</formula>
    </cfRule>
  </conditionalFormatting>
  <conditionalFormatting sqref="G77:H77">
    <cfRule type="containsText" dxfId="248" priority="13" operator="containsText" text="ATRASADO">
      <formula>NOT(ISERROR(SEARCH("ATRASADO",G77)))</formula>
    </cfRule>
    <cfRule type="containsText" dxfId="247" priority="14" operator="containsText" text="A PAGAR">
      <formula>NOT(ISERROR(SEARCH("A PAGAR",G77)))</formula>
    </cfRule>
    <cfRule type="containsText" dxfId="246" priority="15" operator="containsText" text="PAGO">
      <formula>NOT(ISERROR(SEARCH("PAGO",G77)))</formula>
    </cfRule>
  </conditionalFormatting>
  <conditionalFormatting sqref="G80:H80">
    <cfRule type="containsText" dxfId="245" priority="10" operator="containsText" text="ATRASADO">
      <formula>NOT(ISERROR(SEARCH("ATRASADO",G80)))</formula>
    </cfRule>
    <cfRule type="containsText" dxfId="244" priority="11" operator="containsText" text="A PAGAR">
      <formula>NOT(ISERROR(SEARCH("A PAGAR",G80)))</formula>
    </cfRule>
    <cfRule type="containsText" dxfId="243" priority="12" operator="containsText" text="PAGO">
      <formula>NOT(ISERROR(SEARCH("PAGO",G80)))</formula>
    </cfRule>
  </conditionalFormatting>
  <pageMargins left="0.511811024" right="0.511811024" top="0.78740157499999996" bottom="0.78740157499999996" header="0.31496062000000002" footer="0.31496062000000002"/>
  <pageSetup paperSize="9" scale="42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65D6-B04D-4732-8C5F-FAD6A1BB465F}">
  <dimension ref="A1:J120"/>
  <sheetViews>
    <sheetView view="pageBreakPreview" zoomScale="60" zoomScaleNormal="86" workbookViewId="0">
      <selection activeCell="A136" sqref="A136"/>
    </sheetView>
  </sheetViews>
  <sheetFormatPr defaultRowHeight="15" x14ac:dyDescent="0.25"/>
  <cols>
    <col min="1" max="1" width="6.7109375" customWidth="1"/>
    <col min="2" max="2" width="17.5703125" customWidth="1"/>
    <col min="3" max="3" width="93.5703125" customWidth="1"/>
    <col min="4" max="4" width="49" customWidth="1"/>
    <col min="5" max="5" width="37.5703125" customWidth="1"/>
    <col min="6" max="6" width="30" customWidth="1"/>
    <col min="7" max="7" width="13" customWidth="1"/>
    <col min="8" max="8" width="26.42578125" customWidth="1"/>
    <col min="9" max="9" width="16.28515625" customWidth="1"/>
  </cols>
  <sheetData>
    <row r="1" spans="1:10" ht="21" x14ac:dyDescent="0.35">
      <c r="A1" s="70" t="s">
        <v>15</v>
      </c>
      <c r="B1" s="71"/>
      <c r="C1" s="71"/>
      <c r="D1" s="71"/>
      <c r="E1" s="71"/>
      <c r="F1" s="71"/>
      <c r="G1" s="72"/>
      <c r="H1" s="47"/>
      <c r="I1" s="39"/>
      <c r="J1" s="31"/>
    </row>
    <row r="2" spans="1:10" ht="21" x14ac:dyDescent="0.35">
      <c r="A2" s="55" t="s">
        <v>0</v>
      </c>
      <c r="B2" s="40" t="s">
        <v>1</v>
      </c>
      <c r="C2" s="40" t="s">
        <v>2</v>
      </c>
      <c r="D2" s="40" t="s">
        <v>31</v>
      </c>
      <c r="E2" s="40" t="s">
        <v>32</v>
      </c>
      <c r="F2" s="40" t="s">
        <v>3</v>
      </c>
      <c r="G2" s="40" t="s">
        <v>4</v>
      </c>
      <c r="H2" s="41" t="s">
        <v>5</v>
      </c>
      <c r="I2" s="42" t="s">
        <v>6</v>
      </c>
      <c r="J2" s="31"/>
    </row>
    <row r="3" spans="1:10" ht="21" x14ac:dyDescent="0.35">
      <c r="A3" s="56"/>
      <c r="B3" s="34">
        <v>45902</v>
      </c>
      <c r="C3" s="35" t="s">
        <v>53</v>
      </c>
      <c r="D3" s="35" t="s">
        <v>17</v>
      </c>
      <c r="E3" s="35" t="s">
        <v>36</v>
      </c>
      <c r="F3" s="36">
        <v>670</v>
      </c>
      <c r="G3" s="37" t="s">
        <v>7</v>
      </c>
      <c r="H3" s="37" t="s">
        <v>21</v>
      </c>
      <c r="I3" s="37" t="s">
        <v>90</v>
      </c>
      <c r="J3" s="31" t="s">
        <v>20</v>
      </c>
    </row>
    <row r="4" spans="1:10" ht="21" x14ac:dyDescent="0.35">
      <c r="A4" s="56"/>
      <c r="B4" s="57">
        <v>45908</v>
      </c>
      <c r="C4" s="58" t="s">
        <v>210</v>
      </c>
      <c r="D4" s="58" t="s">
        <v>17</v>
      </c>
      <c r="E4" s="58" t="s">
        <v>36</v>
      </c>
      <c r="F4" s="59">
        <v>360</v>
      </c>
      <c r="G4" s="37" t="s">
        <v>7</v>
      </c>
      <c r="H4" s="37" t="s">
        <v>21</v>
      </c>
      <c r="I4" s="49" t="s">
        <v>16</v>
      </c>
      <c r="J4" s="31" t="s">
        <v>20</v>
      </c>
    </row>
    <row r="5" spans="1:10" ht="21" x14ac:dyDescent="0.35">
      <c r="A5" s="56"/>
      <c r="B5" s="57">
        <v>45908</v>
      </c>
      <c r="C5" s="35" t="s">
        <v>211</v>
      </c>
      <c r="D5" s="35" t="s">
        <v>34</v>
      </c>
      <c r="E5" s="35" t="s">
        <v>33</v>
      </c>
      <c r="F5" s="36">
        <v>611.41999999999996</v>
      </c>
      <c r="G5" s="37" t="s">
        <v>7</v>
      </c>
      <c r="H5" s="37" t="s">
        <v>21</v>
      </c>
      <c r="I5" s="37" t="s">
        <v>45</v>
      </c>
      <c r="J5" s="31" t="s">
        <v>20</v>
      </c>
    </row>
    <row r="6" spans="1:10" ht="21" x14ac:dyDescent="0.35">
      <c r="A6" s="56"/>
      <c r="B6" s="57">
        <v>45908</v>
      </c>
      <c r="C6" s="35" t="s">
        <v>212</v>
      </c>
      <c r="D6" s="35" t="s">
        <v>34</v>
      </c>
      <c r="E6" s="35" t="s">
        <v>33</v>
      </c>
      <c r="F6" s="36">
        <v>698.8</v>
      </c>
      <c r="G6" s="37" t="s">
        <v>7</v>
      </c>
      <c r="H6" s="37" t="s">
        <v>21</v>
      </c>
      <c r="I6" s="37" t="s">
        <v>24</v>
      </c>
      <c r="J6" s="31" t="s">
        <v>20</v>
      </c>
    </row>
    <row r="7" spans="1:10" ht="21" x14ac:dyDescent="0.35">
      <c r="A7" s="56"/>
      <c r="B7" s="51">
        <v>45904</v>
      </c>
      <c r="C7" s="52" t="s">
        <v>197</v>
      </c>
      <c r="D7" s="52" t="s">
        <v>34</v>
      </c>
      <c r="E7" s="52" t="s">
        <v>33</v>
      </c>
      <c r="F7" s="53">
        <v>786.04</v>
      </c>
      <c r="G7" s="37" t="s">
        <v>7</v>
      </c>
      <c r="H7" s="50" t="s">
        <v>21</v>
      </c>
      <c r="I7" s="60" t="s">
        <v>12</v>
      </c>
      <c r="J7" s="61" t="s">
        <v>20</v>
      </c>
    </row>
    <row r="8" spans="1:10" ht="21" x14ac:dyDescent="0.35">
      <c r="A8" s="38"/>
      <c r="B8" s="34">
        <v>45903</v>
      </c>
      <c r="C8" s="35" t="s">
        <v>191</v>
      </c>
      <c r="D8" s="35" t="s">
        <v>39</v>
      </c>
      <c r="E8" s="35" t="s">
        <v>36</v>
      </c>
      <c r="F8" s="36">
        <v>425</v>
      </c>
      <c r="G8" s="37" t="s">
        <v>7</v>
      </c>
      <c r="H8" s="37" t="s">
        <v>23</v>
      </c>
      <c r="I8" s="37" t="s">
        <v>90</v>
      </c>
      <c r="J8" s="31" t="s">
        <v>20</v>
      </c>
    </row>
    <row r="9" spans="1:10" ht="21" x14ac:dyDescent="0.35">
      <c r="A9" s="38"/>
      <c r="B9" s="34">
        <v>45875</v>
      </c>
      <c r="C9" s="35" t="s">
        <v>111</v>
      </c>
      <c r="D9" s="35" t="s">
        <v>17</v>
      </c>
      <c r="E9" s="35" t="s">
        <v>36</v>
      </c>
      <c r="F9" s="36">
        <v>50</v>
      </c>
      <c r="G9" s="37" t="s">
        <v>7</v>
      </c>
      <c r="H9" s="37" t="s">
        <v>23</v>
      </c>
      <c r="I9" s="37" t="s">
        <v>22</v>
      </c>
      <c r="J9" s="31" t="s">
        <v>20</v>
      </c>
    </row>
    <row r="10" spans="1:10" ht="21" x14ac:dyDescent="0.35">
      <c r="A10" s="38"/>
      <c r="B10" s="34">
        <v>45903</v>
      </c>
      <c r="C10" s="35" t="s">
        <v>191</v>
      </c>
      <c r="D10" s="35" t="s">
        <v>39</v>
      </c>
      <c r="E10" s="35" t="s">
        <v>36</v>
      </c>
      <c r="F10" s="36">
        <v>875</v>
      </c>
      <c r="G10" s="37" t="s">
        <v>7</v>
      </c>
      <c r="H10" s="37" t="s">
        <v>23</v>
      </c>
      <c r="I10" s="37" t="s">
        <v>90</v>
      </c>
      <c r="J10" s="31" t="s">
        <v>20</v>
      </c>
    </row>
    <row r="11" spans="1:10" ht="21" x14ac:dyDescent="0.35">
      <c r="A11" s="38"/>
      <c r="B11" s="34">
        <v>45903</v>
      </c>
      <c r="C11" s="35" t="s">
        <v>192</v>
      </c>
      <c r="D11" s="35" t="s">
        <v>34</v>
      </c>
      <c r="E11" s="35" t="s">
        <v>33</v>
      </c>
      <c r="F11" s="36">
        <v>888.5</v>
      </c>
      <c r="G11" s="37" t="s">
        <v>7</v>
      </c>
      <c r="H11" s="37" t="s">
        <v>23</v>
      </c>
      <c r="I11" s="37" t="s">
        <v>45</v>
      </c>
      <c r="J11" s="31" t="s">
        <v>20</v>
      </c>
    </row>
    <row r="12" spans="1:10" ht="21" x14ac:dyDescent="0.35">
      <c r="A12" s="38"/>
      <c r="B12" s="34">
        <v>45905</v>
      </c>
      <c r="C12" s="35" t="s">
        <v>205</v>
      </c>
      <c r="D12" s="35" t="s">
        <v>39</v>
      </c>
      <c r="E12" s="35" t="s">
        <v>36</v>
      </c>
      <c r="F12" s="36">
        <v>1262.5</v>
      </c>
      <c r="G12" s="37" t="s">
        <v>7</v>
      </c>
      <c r="H12" s="37" t="s">
        <v>21</v>
      </c>
      <c r="I12" s="37" t="s">
        <v>90</v>
      </c>
      <c r="J12" s="31" t="s">
        <v>20</v>
      </c>
    </row>
    <row r="13" spans="1:10" s="14" customFormat="1" ht="21" x14ac:dyDescent="0.35">
      <c r="A13" s="38"/>
      <c r="B13" s="34">
        <v>45909</v>
      </c>
      <c r="C13" s="35" t="s">
        <v>70</v>
      </c>
      <c r="D13" s="35" t="s">
        <v>39</v>
      </c>
      <c r="E13" s="35" t="s">
        <v>36</v>
      </c>
      <c r="F13" s="36">
        <v>1165</v>
      </c>
      <c r="G13" s="37" t="s">
        <v>7</v>
      </c>
      <c r="H13" s="37" t="s">
        <v>21</v>
      </c>
      <c r="I13" s="37" t="s">
        <v>90</v>
      </c>
      <c r="J13" s="31" t="s">
        <v>20</v>
      </c>
    </row>
    <row r="14" spans="1:10" ht="21" x14ac:dyDescent="0.35">
      <c r="A14" s="38"/>
      <c r="B14" s="34">
        <v>45910</v>
      </c>
      <c r="C14" s="35" t="s">
        <v>216</v>
      </c>
      <c r="D14" s="35" t="s">
        <v>39</v>
      </c>
      <c r="E14" s="35" t="s">
        <v>36</v>
      </c>
      <c r="F14" s="36">
        <v>1677.5</v>
      </c>
      <c r="G14" s="37" t="s">
        <v>7</v>
      </c>
      <c r="H14" s="37" t="s">
        <v>21</v>
      </c>
      <c r="I14" s="37" t="s">
        <v>80</v>
      </c>
      <c r="J14" s="31" t="s">
        <v>20</v>
      </c>
    </row>
    <row r="15" spans="1:10" ht="21" x14ac:dyDescent="0.35">
      <c r="A15" s="38"/>
      <c r="B15" s="34">
        <v>45912</v>
      </c>
      <c r="C15" s="35" t="s">
        <v>222</v>
      </c>
      <c r="D15" s="35" t="s">
        <v>34</v>
      </c>
      <c r="E15" s="35" t="s">
        <v>33</v>
      </c>
      <c r="F15" s="36">
        <v>915</v>
      </c>
      <c r="G15" s="37" t="s">
        <v>7</v>
      </c>
      <c r="H15" s="37" t="s">
        <v>21</v>
      </c>
      <c r="I15" s="37" t="s">
        <v>11</v>
      </c>
      <c r="J15" s="31" t="s">
        <v>20</v>
      </c>
    </row>
    <row r="16" spans="1:10" ht="21" x14ac:dyDescent="0.35">
      <c r="A16" s="38"/>
      <c r="B16" s="34">
        <v>45909</v>
      </c>
      <c r="C16" s="35" t="s">
        <v>214</v>
      </c>
      <c r="D16" s="35" t="s">
        <v>34</v>
      </c>
      <c r="E16" s="35" t="s">
        <v>33</v>
      </c>
      <c r="F16" s="36">
        <v>730.15</v>
      </c>
      <c r="G16" s="37" t="s">
        <v>7</v>
      </c>
      <c r="H16" s="37" t="s">
        <v>21</v>
      </c>
      <c r="I16" s="37" t="s">
        <v>45</v>
      </c>
      <c r="J16" s="31" t="s">
        <v>20</v>
      </c>
    </row>
    <row r="17" spans="1:10" ht="21" x14ac:dyDescent="0.35">
      <c r="A17" s="38"/>
      <c r="B17" s="34">
        <v>45915</v>
      </c>
      <c r="C17" s="35" t="s">
        <v>226</v>
      </c>
      <c r="D17" s="35" t="s">
        <v>39</v>
      </c>
      <c r="E17" s="35" t="s">
        <v>36</v>
      </c>
      <c r="F17" s="36">
        <v>425</v>
      </c>
      <c r="G17" s="37" t="s">
        <v>7</v>
      </c>
      <c r="H17" s="37" t="s">
        <v>21</v>
      </c>
      <c r="I17" s="37" t="s">
        <v>12</v>
      </c>
      <c r="J17" s="31" t="s">
        <v>20</v>
      </c>
    </row>
    <row r="18" spans="1:10" ht="21" x14ac:dyDescent="0.35">
      <c r="A18" s="38"/>
      <c r="B18" s="34">
        <v>45915</v>
      </c>
      <c r="C18" s="35" t="s">
        <v>228</v>
      </c>
      <c r="D18" s="35" t="s">
        <v>17</v>
      </c>
      <c r="E18" s="35" t="s">
        <v>36</v>
      </c>
      <c r="F18" s="36">
        <v>400</v>
      </c>
      <c r="G18" s="37" t="s">
        <v>7</v>
      </c>
      <c r="H18" s="37" t="s">
        <v>21</v>
      </c>
      <c r="I18" s="37" t="s">
        <v>10</v>
      </c>
      <c r="J18" s="31" t="s">
        <v>20</v>
      </c>
    </row>
    <row r="19" spans="1:10" s="14" customFormat="1" ht="21" x14ac:dyDescent="0.35">
      <c r="A19" s="38"/>
      <c r="B19" s="34">
        <v>45916</v>
      </c>
      <c r="C19" s="35" t="s">
        <v>235</v>
      </c>
      <c r="D19" s="35" t="s">
        <v>34</v>
      </c>
      <c r="E19" s="35" t="s">
        <v>33</v>
      </c>
      <c r="F19" s="36">
        <v>1509.39</v>
      </c>
      <c r="G19" s="37" t="s">
        <v>7</v>
      </c>
      <c r="H19" s="37" t="s">
        <v>21</v>
      </c>
      <c r="I19" s="37" t="s">
        <v>90</v>
      </c>
      <c r="J19" s="31" t="s">
        <v>20</v>
      </c>
    </row>
    <row r="20" spans="1:10" s="14" customFormat="1" ht="21" x14ac:dyDescent="0.35">
      <c r="A20" s="38"/>
      <c r="B20" s="34">
        <v>45918</v>
      </c>
      <c r="C20" s="35" t="s">
        <v>117</v>
      </c>
      <c r="D20" s="35" t="s">
        <v>39</v>
      </c>
      <c r="E20" s="35" t="s">
        <v>36</v>
      </c>
      <c r="F20" s="36">
        <v>1177.5</v>
      </c>
      <c r="G20" s="37" t="s">
        <v>7</v>
      </c>
      <c r="H20" s="37" t="s">
        <v>21</v>
      </c>
      <c r="I20" s="37" t="s">
        <v>90</v>
      </c>
      <c r="J20" s="31" t="s">
        <v>20</v>
      </c>
    </row>
    <row r="21" spans="1:10" s="14" customFormat="1" ht="21" x14ac:dyDescent="0.35">
      <c r="A21" s="38"/>
      <c r="B21" s="34">
        <v>45918</v>
      </c>
      <c r="C21" s="35" t="s">
        <v>240</v>
      </c>
      <c r="D21" s="35" t="s">
        <v>34</v>
      </c>
      <c r="E21" s="35" t="s">
        <v>33</v>
      </c>
      <c r="F21" s="36">
        <v>1638</v>
      </c>
      <c r="G21" s="37" t="s">
        <v>7</v>
      </c>
      <c r="H21" s="37" t="s">
        <v>21</v>
      </c>
      <c r="I21" s="37" t="s">
        <v>90</v>
      </c>
      <c r="J21" s="31" t="s">
        <v>20</v>
      </c>
    </row>
    <row r="22" spans="1:10" ht="21" x14ac:dyDescent="0.35">
      <c r="A22" s="38"/>
      <c r="B22" s="34">
        <v>45923</v>
      </c>
      <c r="C22" s="35" t="s">
        <v>79</v>
      </c>
      <c r="D22" s="35" t="s">
        <v>39</v>
      </c>
      <c r="E22" s="35" t="s">
        <v>36</v>
      </c>
      <c r="F22" s="36">
        <v>1072.5</v>
      </c>
      <c r="G22" s="37" t="s">
        <v>7</v>
      </c>
      <c r="H22" s="37" t="s">
        <v>23</v>
      </c>
      <c r="I22" s="37" t="s">
        <v>90</v>
      </c>
      <c r="J22" s="31" t="s">
        <v>20</v>
      </c>
    </row>
    <row r="23" spans="1:10" ht="21" x14ac:dyDescent="0.35">
      <c r="A23" s="38"/>
      <c r="B23" s="34">
        <v>45925</v>
      </c>
      <c r="C23" s="35" t="s">
        <v>70</v>
      </c>
      <c r="D23" s="35" t="s">
        <v>39</v>
      </c>
      <c r="E23" s="35" t="s">
        <v>36</v>
      </c>
      <c r="F23" s="36">
        <v>1007.5</v>
      </c>
      <c r="G23" s="37" t="s">
        <v>7</v>
      </c>
      <c r="H23" s="37" t="s">
        <v>46</v>
      </c>
      <c r="I23" s="37" t="s">
        <v>90</v>
      </c>
      <c r="J23" s="31" t="s">
        <v>20</v>
      </c>
    </row>
    <row r="24" spans="1:10" ht="21" x14ac:dyDescent="0.35">
      <c r="A24" s="38"/>
      <c r="B24" s="34"/>
      <c r="C24" s="35"/>
      <c r="D24" s="35"/>
      <c r="E24" s="35"/>
      <c r="F24" s="36"/>
      <c r="G24" s="37"/>
      <c r="H24" s="37"/>
      <c r="I24" s="37"/>
      <c r="J24" s="31"/>
    </row>
    <row r="25" spans="1:10" ht="21" x14ac:dyDescent="0.35">
      <c r="A25" s="38"/>
      <c r="B25" s="34"/>
      <c r="C25" s="45" t="s">
        <v>8</v>
      </c>
      <c r="D25" s="45"/>
      <c r="E25" s="45"/>
      <c r="F25" s="43">
        <f>SUM(F3:F23)</f>
        <v>18344.8</v>
      </c>
      <c r="G25" s="37"/>
      <c r="H25" s="37"/>
      <c r="I25" s="37"/>
      <c r="J25" s="31"/>
    </row>
    <row r="26" spans="1:10" ht="21" x14ac:dyDescent="0.35">
      <c r="A26" s="70" t="s">
        <v>17</v>
      </c>
      <c r="B26" s="71"/>
      <c r="C26" s="71"/>
      <c r="D26" s="71"/>
      <c r="E26" s="71"/>
      <c r="F26" s="71"/>
      <c r="G26" s="72"/>
      <c r="H26" s="47"/>
      <c r="I26" s="39"/>
      <c r="J26" s="31"/>
    </row>
    <row r="27" spans="1:10" ht="21" x14ac:dyDescent="0.35">
      <c r="A27" s="55" t="s">
        <v>0</v>
      </c>
      <c r="B27" s="40" t="s">
        <v>1</v>
      </c>
      <c r="C27" s="40" t="s">
        <v>2</v>
      </c>
      <c r="D27" s="40" t="s">
        <v>31</v>
      </c>
      <c r="E27" s="40" t="s">
        <v>32</v>
      </c>
      <c r="F27" s="40" t="s">
        <v>3</v>
      </c>
      <c r="G27" s="40" t="s">
        <v>4</v>
      </c>
      <c r="H27" s="41" t="s">
        <v>5</v>
      </c>
      <c r="I27" s="42" t="s">
        <v>6</v>
      </c>
      <c r="J27" s="31"/>
    </row>
    <row r="28" spans="1:10" ht="21" x14ac:dyDescent="0.35">
      <c r="A28" s="62"/>
      <c r="B28" s="51">
        <v>45901</v>
      </c>
      <c r="C28" s="52" t="s">
        <v>18</v>
      </c>
      <c r="D28" s="52" t="s">
        <v>61</v>
      </c>
      <c r="E28" s="52" t="s">
        <v>36</v>
      </c>
      <c r="F28" s="54">
        <v>480</v>
      </c>
      <c r="G28" s="37" t="s">
        <v>7</v>
      </c>
      <c r="H28" s="44" t="s">
        <v>21</v>
      </c>
      <c r="I28" s="49" t="s">
        <v>22</v>
      </c>
      <c r="J28" s="31" t="s">
        <v>20</v>
      </c>
    </row>
    <row r="29" spans="1:10" ht="21" x14ac:dyDescent="0.35">
      <c r="A29" s="48"/>
      <c r="B29" s="34">
        <v>45901</v>
      </c>
      <c r="C29" s="35" t="s">
        <v>185</v>
      </c>
      <c r="D29" s="35" t="s">
        <v>61</v>
      </c>
      <c r="E29" s="35" t="s">
        <v>36</v>
      </c>
      <c r="F29" s="36">
        <v>1200</v>
      </c>
      <c r="G29" s="37" t="s">
        <v>7</v>
      </c>
      <c r="H29" s="37" t="s">
        <v>21</v>
      </c>
      <c r="I29" s="37" t="s">
        <v>184</v>
      </c>
      <c r="J29" s="31" t="s">
        <v>20</v>
      </c>
    </row>
    <row r="30" spans="1:10" ht="21" x14ac:dyDescent="0.35">
      <c r="A30" s="48"/>
      <c r="B30" s="34">
        <v>45901</v>
      </c>
      <c r="C30" s="35" t="s">
        <v>186</v>
      </c>
      <c r="D30" s="35" t="s">
        <v>41</v>
      </c>
      <c r="E30" s="35" t="s">
        <v>36</v>
      </c>
      <c r="F30" s="36">
        <v>495</v>
      </c>
      <c r="G30" s="37" t="s">
        <v>7</v>
      </c>
      <c r="H30" s="37" t="s">
        <v>21</v>
      </c>
      <c r="I30" s="37" t="s">
        <v>51</v>
      </c>
      <c r="J30" s="31" t="s">
        <v>20</v>
      </c>
    </row>
    <row r="31" spans="1:10" ht="21" x14ac:dyDescent="0.35">
      <c r="A31" s="48"/>
      <c r="B31" s="34">
        <v>45901</v>
      </c>
      <c r="C31" s="35" t="s">
        <v>187</v>
      </c>
      <c r="D31" s="35" t="s">
        <v>41</v>
      </c>
      <c r="E31" s="35" t="s">
        <v>36</v>
      </c>
      <c r="F31" s="36">
        <v>660.38</v>
      </c>
      <c r="G31" s="37" t="s">
        <v>7</v>
      </c>
      <c r="H31" s="37" t="s">
        <v>21</v>
      </c>
      <c r="I31" s="37" t="s">
        <v>26</v>
      </c>
      <c r="J31" s="31" t="s">
        <v>20</v>
      </c>
    </row>
    <row r="32" spans="1:10" s="14" customFormat="1" ht="21" x14ac:dyDescent="0.35">
      <c r="A32" s="48"/>
      <c r="B32" s="34">
        <v>45901</v>
      </c>
      <c r="C32" s="35" t="s">
        <v>188</v>
      </c>
      <c r="D32" s="35" t="s">
        <v>37</v>
      </c>
      <c r="E32" s="35" t="s">
        <v>36</v>
      </c>
      <c r="F32" s="36">
        <v>737.5</v>
      </c>
      <c r="G32" s="37" t="s">
        <v>7</v>
      </c>
      <c r="H32" s="37" t="s">
        <v>21</v>
      </c>
      <c r="I32" s="37" t="s">
        <v>76</v>
      </c>
      <c r="J32" s="31" t="s">
        <v>20</v>
      </c>
    </row>
    <row r="33" spans="1:10" s="14" customFormat="1" ht="21" x14ac:dyDescent="0.35">
      <c r="A33" s="48"/>
      <c r="B33" s="34">
        <v>45901</v>
      </c>
      <c r="C33" s="35" t="s">
        <v>75</v>
      </c>
      <c r="D33" s="35" t="s">
        <v>37</v>
      </c>
      <c r="E33" s="35" t="s">
        <v>36</v>
      </c>
      <c r="F33" s="36">
        <v>953.75</v>
      </c>
      <c r="G33" s="37" t="s">
        <v>7</v>
      </c>
      <c r="H33" s="37" t="s">
        <v>21</v>
      </c>
      <c r="I33" s="37" t="s">
        <v>24</v>
      </c>
      <c r="J33" s="31" t="s">
        <v>20</v>
      </c>
    </row>
    <row r="34" spans="1:10" s="14" customFormat="1" ht="21" x14ac:dyDescent="0.35">
      <c r="A34" s="48"/>
      <c r="B34" s="34">
        <v>45901</v>
      </c>
      <c r="C34" s="35" t="s">
        <v>189</v>
      </c>
      <c r="D34" s="35" t="s">
        <v>88</v>
      </c>
      <c r="E34" s="35" t="s">
        <v>36</v>
      </c>
      <c r="F34" s="36">
        <v>1105.5999999999999</v>
      </c>
      <c r="G34" s="37" t="s">
        <v>7</v>
      </c>
      <c r="H34" s="35" t="s">
        <v>21</v>
      </c>
      <c r="I34" s="37" t="s">
        <v>10</v>
      </c>
      <c r="J34" s="31" t="s">
        <v>20</v>
      </c>
    </row>
    <row r="35" spans="1:10" ht="21" x14ac:dyDescent="0.35">
      <c r="A35" s="48"/>
      <c r="B35" s="34">
        <v>45903</v>
      </c>
      <c r="C35" s="35" t="s">
        <v>74</v>
      </c>
      <c r="D35" s="35" t="s">
        <v>37</v>
      </c>
      <c r="E35" s="35" t="s">
        <v>36</v>
      </c>
      <c r="F35" s="36">
        <v>377.75</v>
      </c>
      <c r="G35" s="37" t="s">
        <v>7</v>
      </c>
      <c r="H35" s="37" t="s">
        <v>21</v>
      </c>
      <c r="I35" s="37" t="s">
        <v>26</v>
      </c>
      <c r="J35" s="31" t="s">
        <v>20</v>
      </c>
    </row>
    <row r="36" spans="1:10" ht="21" x14ac:dyDescent="0.35">
      <c r="A36" s="48"/>
      <c r="B36" s="34">
        <v>45903</v>
      </c>
      <c r="C36" s="35" t="s">
        <v>193</v>
      </c>
      <c r="D36" s="35" t="s">
        <v>41</v>
      </c>
      <c r="E36" s="35" t="s">
        <v>36</v>
      </c>
      <c r="F36" s="36">
        <v>394.4</v>
      </c>
      <c r="G36" s="37" t="s">
        <v>7</v>
      </c>
      <c r="H36" s="37" t="s">
        <v>21</v>
      </c>
      <c r="I36" s="37" t="s">
        <v>9</v>
      </c>
      <c r="J36" s="31" t="s">
        <v>20</v>
      </c>
    </row>
    <row r="37" spans="1:10" ht="21" x14ac:dyDescent="0.35">
      <c r="A37" s="48"/>
      <c r="B37" s="34">
        <v>45903</v>
      </c>
      <c r="C37" s="35" t="s">
        <v>194</v>
      </c>
      <c r="D37" s="35" t="s">
        <v>37</v>
      </c>
      <c r="E37" s="35" t="s">
        <v>36</v>
      </c>
      <c r="F37" s="36">
        <v>199.33</v>
      </c>
      <c r="G37" s="37" t="s">
        <v>7</v>
      </c>
      <c r="H37" s="37" t="s">
        <v>23</v>
      </c>
      <c r="I37" s="37" t="s">
        <v>26</v>
      </c>
      <c r="J37" s="31" t="s">
        <v>20</v>
      </c>
    </row>
    <row r="38" spans="1:10" s="14" customFormat="1" ht="21" x14ac:dyDescent="0.35">
      <c r="A38" s="48"/>
      <c r="B38" s="34">
        <v>45903</v>
      </c>
      <c r="C38" s="35" t="s">
        <v>195</v>
      </c>
      <c r="D38" s="35" t="s">
        <v>37</v>
      </c>
      <c r="E38" s="35" t="s">
        <v>36</v>
      </c>
      <c r="F38" s="36">
        <v>276</v>
      </c>
      <c r="G38" s="37" t="s">
        <v>7</v>
      </c>
      <c r="H38" s="37" t="s">
        <v>23</v>
      </c>
      <c r="I38" s="37" t="s">
        <v>24</v>
      </c>
      <c r="J38" s="31" t="s">
        <v>20</v>
      </c>
    </row>
    <row r="39" spans="1:10" ht="21" x14ac:dyDescent="0.35">
      <c r="A39" s="48"/>
      <c r="B39" s="34">
        <v>45904</v>
      </c>
      <c r="C39" s="35" t="s">
        <v>198</v>
      </c>
      <c r="D39" s="35" t="s">
        <v>37</v>
      </c>
      <c r="E39" s="35" t="s">
        <v>36</v>
      </c>
      <c r="F39" s="36">
        <v>366.67</v>
      </c>
      <c r="G39" s="37" t="s">
        <v>7</v>
      </c>
      <c r="H39" s="37" t="s">
        <v>21</v>
      </c>
      <c r="I39" s="37" t="s">
        <v>26</v>
      </c>
      <c r="J39" s="31" t="s">
        <v>20</v>
      </c>
    </row>
    <row r="40" spans="1:10" ht="21" x14ac:dyDescent="0.35">
      <c r="A40" s="48"/>
      <c r="B40" s="34">
        <v>45903</v>
      </c>
      <c r="C40" s="35" t="s">
        <v>190</v>
      </c>
      <c r="D40" s="35" t="s">
        <v>37</v>
      </c>
      <c r="E40" s="35" t="s">
        <v>36</v>
      </c>
      <c r="F40" s="36">
        <v>323.75</v>
      </c>
      <c r="G40" s="37" t="s">
        <v>7</v>
      </c>
      <c r="H40" s="37" t="s">
        <v>23</v>
      </c>
      <c r="I40" s="37" t="s">
        <v>12</v>
      </c>
      <c r="J40" s="31" t="s">
        <v>20</v>
      </c>
    </row>
    <row r="41" spans="1:10" s="14" customFormat="1" ht="21" x14ac:dyDescent="0.35">
      <c r="A41" s="48"/>
      <c r="B41" s="34">
        <v>45904</v>
      </c>
      <c r="C41" s="35" t="s">
        <v>196</v>
      </c>
      <c r="D41" s="35" t="s">
        <v>41</v>
      </c>
      <c r="E41" s="35" t="s">
        <v>36</v>
      </c>
      <c r="F41" s="36">
        <v>962.7</v>
      </c>
      <c r="G41" s="37" t="s">
        <v>7</v>
      </c>
      <c r="H41" s="37" t="s">
        <v>21</v>
      </c>
      <c r="I41" s="37" t="s">
        <v>16</v>
      </c>
      <c r="J41" s="31" t="s">
        <v>20</v>
      </c>
    </row>
    <row r="42" spans="1:10" s="14" customFormat="1" ht="21" x14ac:dyDescent="0.35">
      <c r="A42" s="48"/>
      <c r="B42" s="34">
        <v>45904</v>
      </c>
      <c r="C42" s="35" t="s">
        <v>199</v>
      </c>
      <c r="D42" s="35" t="s">
        <v>37</v>
      </c>
      <c r="E42" s="35" t="s">
        <v>36</v>
      </c>
      <c r="F42" s="36">
        <v>700</v>
      </c>
      <c r="G42" s="37" t="s">
        <v>7</v>
      </c>
      <c r="H42" s="37" t="s">
        <v>21</v>
      </c>
      <c r="I42" s="37" t="s">
        <v>11</v>
      </c>
      <c r="J42" s="31" t="s">
        <v>20</v>
      </c>
    </row>
    <row r="43" spans="1:10" s="14" customFormat="1" ht="21" x14ac:dyDescent="0.35">
      <c r="A43" s="48"/>
      <c r="B43" s="34">
        <v>45904</v>
      </c>
      <c r="C43" s="35" t="s">
        <v>200</v>
      </c>
      <c r="D43" s="35" t="s">
        <v>37</v>
      </c>
      <c r="E43" s="35" t="s">
        <v>36</v>
      </c>
      <c r="F43" s="36">
        <v>611.25</v>
      </c>
      <c r="G43" s="37" t="s">
        <v>7</v>
      </c>
      <c r="H43" s="37" t="s">
        <v>21</v>
      </c>
      <c r="I43" s="37" t="s">
        <v>201</v>
      </c>
      <c r="J43" s="31" t="s">
        <v>20</v>
      </c>
    </row>
    <row r="44" spans="1:10" s="14" customFormat="1" ht="21" x14ac:dyDescent="0.35">
      <c r="A44" s="48"/>
      <c r="B44" s="34">
        <v>45905</v>
      </c>
      <c r="C44" s="35" t="s">
        <v>202</v>
      </c>
      <c r="D44" s="35" t="s">
        <v>61</v>
      </c>
      <c r="E44" s="35" t="s">
        <v>36</v>
      </c>
      <c r="F44" s="36">
        <v>25000</v>
      </c>
      <c r="G44" s="37" t="s">
        <v>7</v>
      </c>
      <c r="H44" s="37" t="s">
        <v>46</v>
      </c>
      <c r="I44" s="37" t="s">
        <v>12</v>
      </c>
      <c r="J44" s="31" t="s">
        <v>20</v>
      </c>
    </row>
    <row r="45" spans="1:10" s="14" customFormat="1" ht="21" x14ac:dyDescent="0.35">
      <c r="A45" s="48"/>
      <c r="B45" s="34">
        <v>45905</v>
      </c>
      <c r="C45" s="35" t="s">
        <v>203</v>
      </c>
      <c r="D45" s="35" t="s">
        <v>37</v>
      </c>
      <c r="E45" s="35" t="s">
        <v>36</v>
      </c>
      <c r="F45" s="36">
        <v>860</v>
      </c>
      <c r="G45" s="37" t="s">
        <v>7</v>
      </c>
      <c r="H45" s="35" t="s">
        <v>131</v>
      </c>
      <c r="I45" s="37" t="s">
        <v>76</v>
      </c>
      <c r="J45" s="31" t="s">
        <v>20</v>
      </c>
    </row>
    <row r="46" spans="1:10" s="14" customFormat="1" ht="21" x14ac:dyDescent="0.35">
      <c r="A46" s="48"/>
      <c r="B46" s="34">
        <v>45905</v>
      </c>
      <c r="C46" s="35" t="s">
        <v>204</v>
      </c>
      <c r="D46" s="35" t="s">
        <v>61</v>
      </c>
      <c r="E46" s="35" t="s">
        <v>36</v>
      </c>
      <c r="F46" s="36">
        <v>299.18</v>
      </c>
      <c r="G46" s="37" t="s">
        <v>7</v>
      </c>
      <c r="H46" s="35" t="s">
        <v>21</v>
      </c>
      <c r="I46" s="37" t="s">
        <v>44</v>
      </c>
      <c r="J46" s="31" t="s">
        <v>20</v>
      </c>
    </row>
    <row r="47" spans="1:10" ht="21" x14ac:dyDescent="0.35">
      <c r="A47" s="48"/>
      <c r="B47" s="34">
        <v>45905</v>
      </c>
      <c r="C47" s="35" t="s">
        <v>18</v>
      </c>
      <c r="D47" s="35" t="s">
        <v>61</v>
      </c>
      <c r="E47" s="35" t="s">
        <v>36</v>
      </c>
      <c r="F47" s="36">
        <v>350</v>
      </c>
      <c r="G47" s="37" t="s">
        <v>7</v>
      </c>
      <c r="H47" s="37" t="s">
        <v>23</v>
      </c>
      <c r="I47" s="37" t="s">
        <v>22</v>
      </c>
      <c r="J47" s="31" t="s">
        <v>20</v>
      </c>
    </row>
    <row r="48" spans="1:10" ht="21" x14ac:dyDescent="0.35">
      <c r="A48" s="48"/>
      <c r="B48" s="34">
        <v>45905</v>
      </c>
      <c r="C48" s="35" t="s">
        <v>73</v>
      </c>
      <c r="D48" s="35" t="s">
        <v>37</v>
      </c>
      <c r="E48" s="35" t="s">
        <v>36</v>
      </c>
      <c r="F48" s="36">
        <v>137.66999999999999</v>
      </c>
      <c r="G48" s="37" t="s">
        <v>7</v>
      </c>
      <c r="H48" s="37" t="s">
        <v>21</v>
      </c>
      <c r="I48" s="37" t="s">
        <v>76</v>
      </c>
      <c r="J48" s="31" t="s">
        <v>20</v>
      </c>
    </row>
    <row r="49" spans="1:10" s="14" customFormat="1" ht="21" x14ac:dyDescent="0.35">
      <c r="A49" s="48"/>
      <c r="B49" s="34">
        <v>45908</v>
      </c>
      <c r="C49" s="35" t="s">
        <v>206</v>
      </c>
      <c r="D49" s="35" t="s">
        <v>37</v>
      </c>
      <c r="E49" s="35" t="s">
        <v>36</v>
      </c>
      <c r="F49" s="36">
        <v>675.67</v>
      </c>
      <c r="G49" s="37" t="s">
        <v>7</v>
      </c>
      <c r="H49" s="37" t="s">
        <v>131</v>
      </c>
      <c r="I49" s="37" t="s">
        <v>24</v>
      </c>
      <c r="J49" s="31" t="s">
        <v>20</v>
      </c>
    </row>
    <row r="50" spans="1:10" s="14" customFormat="1" ht="21" x14ac:dyDescent="0.35">
      <c r="A50" s="48"/>
      <c r="B50" s="34">
        <v>45908</v>
      </c>
      <c r="C50" s="35" t="s">
        <v>207</v>
      </c>
      <c r="D50" s="35" t="s">
        <v>41</v>
      </c>
      <c r="E50" s="35" t="s">
        <v>36</v>
      </c>
      <c r="F50" s="36">
        <v>1035</v>
      </c>
      <c r="G50" s="37" t="s">
        <v>7</v>
      </c>
      <c r="H50" s="37" t="s">
        <v>21</v>
      </c>
      <c r="I50" s="37" t="s">
        <v>16</v>
      </c>
      <c r="J50" s="31" t="s">
        <v>20</v>
      </c>
    </row>
    <row r="51" spans="1:10" ht="21" x14ac:dyDescent="0.35">
      <c r="A51" s="48"/>
      <c r="B51" s="34">
        <v>45908</v>
      </c>
      <c r="C51" s="35" t="s">
        <v>208</v>
      </c>
      <c r="D51" s="35" t="s">
        <v>37</v>
      </c>
      <c r="E51" s="35" t="s">
        <v>36</v>
      </c>
      <c r="F51" s="36">
        <v>625.5</v>
      </c>
      <c r="G51" s="37" t="s">
        <v>7</v>
      </c>
      <c r="H51" s="37" t="s">
        <v>21</v>
      </c>
      <c r="I51" s="37" t="s">
        <v>67</v>
      </c>
      <c r="J51" s="31" t="s">
        <v>20</v>
      </c>
    </row>
    <row r="52" spans="1:10" ht="21" x14ac:dyDescent="0.35">
      <c r="A52" s="48"/>
      <c r="B52" s="34">
        <v>45908</v>
      </c>
      <c r="C52" s="35" t="s">
        <v>209</v>
      </c>
      <c r="D52" s="35" t="s">
        <v>37</v>
      </c>
      <c r="E52" s="35" t="s">
        <v>36</v>
      </c>
      <c r="F52" s="36">
        <v>199.97</v>
      </c>
      <c r="G52" s="37" t="s">
        <v>7</v>
      </c>
      <c r="H52" s="37" t="s">
        <v>21</v>
      </c>
      <c r="I52" s="37" t="s">
        <v>90</v>
      </c>
      <c r="J52" s="31" t="s">
        <v>20</v>
      </c>
    </row>
    <row r="53" spans="1:10" ht="21" x14ac:dyDescent="0.35">
      <c r="A53" s="48"/>
      <c r="B53" s="34">
        <v>45909</v>
      </c>
      <c r="C53" s="35" t="s">
        <v>213</v>
      </c>
      <c r="D53" s="35" t="s">
        <v>37</v>
      </c>
      <c r="E53" s="35" t="s">
        <v>36</v>
      </c>
      <c r="F53" s="36">
        <v>800</v>
      </c>
      <c r="G53" s="37" t="s">
        <v>7</v>
      </c>
      <c r="H53" s="37" t="s">
        <v>21</v>
      </c>
      <c r="I53" s="37" t="s">
        <v>22</v>
      </c>
      <c r="J53" s="31" t="s">
        <v>20</v>
      </c>
    </row>
    <row r="54" spans="1:10" s="14" customFormat="1" ht="21" x14ac:dyDescent="0.35">
      <c r="A54" s="48"/>
      <c r="B54" s="34">
        <v>45910</v>
      </c>
      <c r="C54" s="35" t="s">
        <v>29</v>
      </c>
      <c r="D54" s="35" t="s">
        <v>37</v>
      </c>
      <c r="E54" s="35" t="s">
        <v>36</v>
      </c>
      <c r="F54" s="36">
        <v>571.5</v>
      </c>
      <c r="G54" s="37" t="s">
        <v>7</v>
      </c>
      <c r="H54" s="35" t="s">
        <v>21</v>
      </c>
      <c r="I54" s="37" t="s">
        <v>11</v>
      </c>
      <c r="J54" s="31" t="s">
        <v>20</v>
      </c>
    </row>
    <row r="55" spans="1:10" s="14" customFormat="1" ht="21" x14ac:dyDescent="0.35">
      <c r="A55" s="48"/>
      <c r="B55" s="34">
        <v>45910</v>
      </c>
      <c r="C55" s="35" t="s">
        <v>215</v>
      </c>
      <c r="D55" s="35" t="s">
        <v>37</v>
      </c>
      <c r="E55" s="35" t="s">
        <v>36</v>
      </c>
      <c r="F55" s="36">
        <v>332.66</v>
      </c>
      <c r="G55" s="37" t="s">
        <v>7</v>
      </c>
      <c r="H55" s="35" t="s">
        <v>21</v>
      </c>
      <c r="I55" s="37" t="s">
        <v>26</v>
      </c>
      <c r="J55" s="31" t="s">
        <v>20</v>
      </c>
    </row>
    <row r="56" spans="1:10" s="14" customFormat="1" ht="21" x14ac:dyDescent="0.35">
      <c r="A56" s="48"/>
      <c r="B56" s="34">
        <v>45912</v>
      </c>
      <c r="C56" s="35" t="s">
        <v>220</v>
      </c>
      <c r="D56" s="35" t="s">
        <v>61</v>
      </c>
      <c r="E56" s="35" t="s">
        <v>36</v>
      </c>
      <c r="F56" s="36">
        <v>300</v>
      </c>
      <c r="G56" s="37" t="s">
        <v>7</v>
      </c>
      <c r="H56" s="35" t="s">
        <v>21</v>
      </c>
      <c r="I56" s="37" t="s">
        <v>10</v>
      </c>
      <c r="J56" s="31" t="s">
        <v>20</v>
      </c>
    </row>
    <row r="57" spans="1:10" s="14" customFormat="1" ht="21" x14ac:dyDescent="0.35">
      <c r="A57" s="48"/>
      <c r="B57" s="34">
        <v>45912</v>
      </c>
      <c r="C57" s="35" t="s">
        <v>221</v>
      </c>
      <c r="D57" s="35" t="s">
        <v>40</v>
      </c>
      <c r="E57" s="35" t="s">
        <v>36</v>
      </c>
      <c r="F57" s="36">
        <v>1100</v>
      </c>
      <c r="G57" s="37" t="s">
        <v>7</v>
      </c>
      <c r="H57" s="35" t="s">
        <v>21</v>
      </c>
      <c r="I57" s="37" t="s">
        <v>219</v>
      </c>
      <c r="J57" s="31" t="s">
        <v>20</v>
      </c>
    </row>
    <row r="58" spans="1:10" s="14" customFormat="1" ht="21" x14ac:dyDescent="0.35">
      <c r="A58" s="48"/>
      <c r="B58" s="34">
        <v>45912</v>
      </c>
      <c r="C58" s="35" t="s">
        <v>223</v>
      </c>
      <c r="D58" s="35" t="s">
        <v>61</v>
      </c>
      <c r="E58" s="35" t="s">
        <v>36</v>
      </c>
      <c r="F58" s="36">
        <v>453.64</v>
      </c>
      <c r="G58" s="37" t="s">
        <v>7</v>
      </c>
      <c r="H58" s="35" t="s">
        <v>21</v>
      </c>
      <c r="I58" s="37" t="s">
        <v>76</v>
      </c>
      <c r="J58" s="31" t="s">
        <v>20</v>
      </c>
    </row>
    <row r="59" spans="1:10" ht="21" x14ac:dyDescent="0.35">
      <c r="A59" s="48"/>
      <c r="B59" s="34">
        <v>45917</v>
      </c>
      <c r="C59" s="35" t="s">
        <v>236</v>
      </c>
      <c r="D59" s="35" t="s">
        <v>61</v>
      </c>
      <c r="E59" s="35" t="s">
        <v>36</v>
      </c>
      <c r="F59" s="36">
        <v>838</v>
      </c>
      <c r="G59" s="37" t="s">
        <v>7</v>
      </c>
      <c r="H59" s="35" t="s">
        <v>21</v>
      </c>
      <c r="I59" s="37" t="s">
        <v>9</v>
      </c>
      <c r="J59" s="31" t="s">
        <v>20</v>
      </c>
    </row>
    <row r="60" spans="1:10" ht="21" x14ac:dyDescent="0.35">
      <c r="A60" s="48"/>
      <c r="B60" s="34">
        <v>45911</v>
      </c>
      <c r="C60" s="35" t="s">
        <v>217</v>
      </c>
      <c r="D60" s="35" t="s">
        <v>37</v>
      </c>
      <c r="E60" s="35" t="s">
        <v>36</v>
      </c>
      <c r="F60" s="36">
        <v>2150</v>
      </c>
      <c r="G60" s="37" t="s">
        <v>7</v>
      </c>
      <c r="H60" s="35" t="s">
        <v>21</v>
      </c>
      <c r="I60" s="37" t="s">
        <v>76</v>
      </c>
      <c r="J60" s="31" t="s">
        <v>20</v>
      </c>
    </row>
    <row r="61" spans="1:10" ht="21" x14ac:dyDescent="0.35">
      <c r="A61" s="48"/>
      <c r="B61" s="34">
        <v>45911</v>
      </c>
      <c r="C61" s="35" t="s">
        <v>218</v>
      </c>
      <c r="D61" s="35" t="s">
        <v>40</v>
      </c>
      <c r="E61" s="35" t="s">
        <v>36</v>
      </c>
      <c r="F61" s="36">
        <v>676.66</v>
      </c>
      <c r="G61" s="37" t="s">
        <v>7</v>
      </c>
      <c r="H61" s="35" t="s">
        <v>21</v>
      </c>
      <c r="I61" s="37" t="s">
        <v>28</v>
      </c>
      <c r="J61" s="31" t="s">
        <v>20</v>
      </c>
    </row>
    <row r="62" spans="1:10" ht="21" x14ac:dyDescent="0.35">
      <c r="A62" s="48"/>
      <c r="B62" s="34">
        <v>45912</v>
      </c>
      <c r="C62" s="35" t="s">
        <v>55</v>
      </c>
      <c r="D62" s="35" t="s">
        <v>37</v>
      </c>
      <c r="E62" s="35" t="s">
        <v>36</v>
      </c>
      <c r="F62" s="36">
        <v>1338.75</v>
      </c>
      <c r="G62" s="37" t="s">
        <v>7</v>
      </c>
      <c r="H62" s="35" t="s">
        <v>21</v>
      </c>
      <c r="I62" s="37" t="s">
        <v>22</v>
      </c>
      <c r="J62" s="31" t="s">
        <v>20</v>
      </c>
    </row>
    <row r="63" spans="1:10" ht="21" x14ac:dyDescent="0.35">
      <c r="A63" s="48"/>
      <c r="B63" s="34">
        <v>45912</v>
      </c>
      <c r="C63" s="35" t="s">
        <v>82</v>
      </c>
      <c r="D63" s="35" t="s">
        <v>37</v>
      </c>
      <c r="E63" s="35" t="s">
        <v>36</v>
      </c>
      <c r="F63" s="36">
        <v>214</v>
      </c>
      <c r="G63" s="37" t="s">
        <v>7</v>
      </c>
      <c r="H63" s="35" t="s">
        <v>21</v>
      </c>
      <c r="I63" s="37" t="s">
        <v>76</v>
      </c>
      <c r="J63" s="31" t="s">
        <v>20</v>
      </c>
    </row>
    <row r="64" spans="1:10" s="14" customFormat="1" ht="21" x14ac:dyDescent="0.35">
      <c r="A64" s="48"/>
      <c r="B64" s="34">
        <v>45912</v>
      </c>
      <c r="C64" s="35" t="s">
        <v>224</v>
      </c>
      <c r="D64" s="35" t="s">
        <v>61</v>
      </c>
      <c r="E64" s="35" t="s">
        <v>36</v>
      </c>
      <c r="F64" s="36">
        <v>330</v>
      </c>
      <c r="G64" s="37" t="s">
        <v>7</v>
      </c>
      <c r="H64" s="35" t="s">
        <v>21</v>
      </c>
      <c r="I64" s="37" t="s">
        <v>22</v>
      </c>
      <c r="J64" s="31" t="s">
        <v>20</v>
      </c>
    </row>
    <row r="65" spans="1:10" ht="21" x14ac:dyDescent="0.35">
      <c r="A65" s="48"/>
      <c r="B65" s="34">
        <v>45913</v>
      </c>
      <c r="C65" s="35" t="s">
        <v>225</v>
      </c>
      <c r="D65" s="35" t="s">
        <v>37</v>
      </c>
      <c r="E65" s="35" t="s">
        <v>36</v>
      </c>
      <c r="F65" s="36">
        <v>120</v>
      </c>
      <c r="G65" s="37" t="s">
        <v>7</v>
      </c>
      <c r="H65" s="35" t="s">
        <v>21</v>
      </c>
      <c r="I65" s="37"/>
      <c r="J65" s="31" t="s">
        <v>20</v>
      </c>
    </row>
    <row r="66" spans="1:10" s="14" customFormat="1" ht="21" x14ac:dyDescent="0.35">
      <c r="A66" s="48"/>
      <c r="B66" s="34">
        <v>45944</v>
      </c>
      <c r="C66" s="35" t="s">
        <v>65</v>
      </c>
      <c r="D66" s="35" t="s">
        <v>37</v>
      </c>
      <c r="E66" s="35" t="s">
        <v>36</v>
      </c>
      <c r="F66" s="36">
        <v>597.5</v>
      </c>
      <c r="G66" s="37" t="s">
        <v>7</v>
      </c>
      <c r="H66" s="35" t="s">
        <v>21</v>
      </c>
      <c r="I66" s="37" t="s">
        <v>24</v>
      </c>
      <c r="J66" s="31" t="s">
        <v>20</v>
      </c>
    </row>
    <row r="67" spans="1:10" ht="21" x14ac:dyDescent="0.35">
      <c r="A67" s="48"/>
      <c r="B67" s="34">
        <v>45915</v>
      </c>
      <c r="C67" s="35" t="s">
        <v>97</v>
      </c>
      <c r="D67" s="35" t="s">
        <v>37</v>
      </c>
      <c r="E67" s="35" t="s">
        <v>36</v>
      </c>
      <c r="F67" s="36">
        <v>501.62</v>
      </c>
      <c r="G67" s="37" t="s">
        <v>7</v>
      </c>
      <c r="H67" s="35" t="s">
        <v>21</v>
      </c>
      <c r="I67" s="37" t="s">
        <v>26</v>
      </c>
      <c r="J67" s="31" t="s">
        <v>20</v>
      </c>
    </row>
    <row r="68" spans="1:10" ht="21" x14ac:dyDescent="0.35">
      <c r="A68" s="48"/>
      <c r="B68" s="34">
        <v>45915</v>
      </c>
      <c r="C68" s="35" t="s">
        <v>229</v>
      </c>
      <c r="D68" s="35" t="s">
        <v>61</v>
      </c>
      <c r="E68" s="35" t="s">
        <v>36</v>
      </c>
      <c r="F68" s="36">
        <v>899.33</v>
      </c>
      <c r="G68" s="37" t="s">
        <v>7</v>
      </c>
      <c r="H68" s="35" t="s">
        <v>131</v>
      </c>
      <c r="I68" s="37" t="s">
        <v>26</v>
      </c>
      <c r="J68" s="31" t="s">
        <v>20</v>
      </c>
    </row>
    <row r="69" spans="1:10" s="14" customFormat="1" ht="21" x14ac:dyDescent="0.35">
      <c r="A69" s="48"/>
      <c r="B69" s="34">
        <v>45915</v>
      </c>
      <c r="C69" s="35" t="s">
        <v>227</v>
      </c>
      <c r="D69" s="35" t="s">
        <v>61</v>
      </c>
      <c r="E69" s="35" t="s">
        <v>36</v>
      </c>
      <c r="F69" s="36">
        <v>160</v>
      </c>
      <c r="G69" s="37" t="s">
        <v>7</v>
      </c>
      <c r="H69" s="35" t="s">
        <v>21</v>
      </c>
      <c r="I69" s="37" t="s">
        <v>24</v>
      </c>
      <c r="J69" s="31" t="s">
        <v>20</v>
      </c>
    </row>
    <row r="70" spans="1:10" ht="21" x14ac:dyDescent="0.35">
      <c r="A70" s="48"/>
      <c r="B70" s="34">
        <v>45915</v>
      </c>
      <c r="C70" s="35" t="s">
        <v>230</v>
      </c>
      <c r="D70" s="35" t="s">
        <v>37</v>
      </c>
      <c r="E70" s="35" t="s">
        <v>36</v>
      </c>
      <c r="F70" s="36">
        <v>419.5</v>
      </c>
      <c r="G70" s="37" t="s">
        <v>7</v>
      </c>
      <c r="H70" s="35" t="s">
        <v>21</v>
      </c>
      <c r="I70" s="37" t="s">
        <v>26</v>
      </c>
      <c r="J70" s="31" t="s">
        <v>20</v>
      </c>
    </row>
    <row r="71" spans="1:10" s="14" customFormat="1" ht="21" x14ac:dyDescent="0.35">
      <c r="A71" s="48"/>
      <c r="B71" s="34">
        <v>45915</v>
      </c>
      <c r="C71" s="35" t="s">
        <v>231</v>
      </c>
      <c r="D71" s="35" t="s">
        <v>41</v>
      </c>
      <c r="E71" s="35" t="s">
        <v>36</v>
      </c>
      <c r="F71" s="36">
        <v>2050</v>
      </c>
      <c r="G71" s="37" t="s">
        <v>7</v>
      </c>
      <c r="H71" s="35" t="s">
        <v>21</v>
      </c>
      <c r="I71" s="37" t="s">
        <v>45</v>
      </c>
      <c r="J71" s="31" t="s">
        <v>20</v>
      </c>
    </row>
    <row r="72" spans="1:10" s="14" customFormat="1" ht="21" x14ac:dyDescent="0.35">
      <c r="A72" s="48"/>
      <c r="B72" s="34">
        <v>45917</v>
      </c>
      <c r="C72" s="35" t="s">
        <v>237</v>
      </c>
      <c r="D72" s="35" t="s">
        <v>41</v>
      </c>
      <c r="E72" s="35" t="s">
        <v>36</v>
      </c>
      <c r="F72" s="36">
        <v>830</v>
      </c>
      <c r="G72" s="37" t="s">
        <v>7</v>
      </c>
      <c r="H72" s="35" t="s">
        <v>21</v>
      </c>
      <c r="I72" s="37" t="s">
        <v>16</v>
      </c>
      <c r="J72" s="31" t="s">
        <v>20</v>
      </c>
    </row>
    <row r="73" spans="1:10" s="14" customFormat="1" ht="21" x14ac:dyDescent="0.35">
      <c r="A73" s="48"/>
      <c r="B73" s="34">
        <v>45917</v>
      </c>
      <c r="C73" s="35" t="s">
        <v>65</v>
      </c>
      <c r="D73" s="35" t="s">
        <v>37</v>
      </c>
      <c r="E73" s="35" t="s">
        <v>36</v>
      </c>
      <c r="F73" s="36">
        <v>957.25</v>
      </c>
      <c r="G73" s="37" t="s">
        <v>7</v>
      </c>
      <c r="H73" s="35" t="s">
        <v>21</v>
      </c>
      <c r="I73" s="37" t="s">
        <v>24</v>
      </c>
      <c r="J73" s="31" t="s">
        <v>20</v>
      </c>
    </row>
    <row r="74" spans="1:10" s="14" customFormat="1" ht="21" x14ac:dyDescent="0.35">
      <c r="A74" s="48"/>
      <c r="B74" s="34">
        <v>45917</v>
      </c>
      <c r="C74" s="35" t="s">
        <v>238</v>
      </c>
      <c r="D74" s="35" t="s">
        <v>41</v>
      </c>
      <c r="E74" s="35" t="s">
        <v>36</v>
      </c>
      <c r="F74" s="36">
        <v>939</v>
      </c>
      <c r="G74" s="37" t="s">
        <v>7</v>
      </c>
      <c r="H74" s="35" t="s">
        <v>21</v>
      </c>
      <c r="I74" s="37" t="s">
        <v>16</v>
      </c>
      <c r="J74" s="31" t="s">
        <v>20</v>
      </c>
    </row>
    <row r="75" spans="1:10" ht="21" x14ac:dyDescent="0.35">
      <c r="A75" s="48"/>
      <c r="B75" s="34">
        <v>45918</v>
      </c>
      <c r="C75" s="35" t="s">
        <v>239</v>
      </c>
      <c r="D75" s="35" t="s">
        <v>37</v>
      </c>
      <c r="E75" s="35" t="s">
        <v>36</v>
      </c>
      <c r="F75" s="36">
        <v>137.5</v>
      </c>
      <c r="G75" s="37" t="s">
        <v>7</v>
      </c>
      <c r="H75" s="35" t="s">
        <v>21</v>
      </c>
      <c r="I75" s="37" t="s">
        <v>90</v>
      </c>
      <c r="J75" s="31" t="s">
        <v>20</v>
      </c>
    </row>
    <row r="76" spans="1:10" ht="21" x14ac:dyDescent="0.35">
      <c r="A76" s="48"/>
      <c r="B76" s="34">
        <v>45916</v>
      </c>
      <c r="C76" s="35" t="s">
        <v>233</v>
      </c>
      <c r="D76" s="35" t="s">
        <v>37</v>
      </c>
      <c r="E76" s="35" t="s">
        <v>36</v>
      </c>
      <c r="F76" s="36">
        <v>496.75</v>
      </c>
      <c r="G76" s="37" t="s">
        <v>7</v>
      </c>
      <c r="H76" s="35" t="s">
        <v>21</v>
      </c>
      <c r="I76" s="37" t="s">
        <v>90</v>
      </c>
      <c r="J76" s="31" t="s">
        <v>20</v>
      </c>
    </row>
    <row r="77" spans="1:10" ht="21" x14ac:dyDescent="0.35">
      <c r="A77" s="48"/>
      <c r="B77" s="34">
        <v>45916</v>
      </c>
      <c r="C77" s="35" t="s">
        <v>232</v>
      </c>
      <c r="D77" s="35" t="s">
        <v>37</v>
      </c>
      <c r="E77" s="35" t="s">
        <v>36</v>
      </c>
      <c r="F77" s="36">
        <v>407.25</v>
      </c>
      <c r="G77" s="37" t="s">
        <v>7</v>
      </c>
      <c r="H77" s="35" t="s">
        <v>21</v>
      </c>
      <c r="I77" s="37" t="s">
        <v>43</v>
      </c>
      <c r="J77" s="31" t="s">
        <v>20</v>
      </c>
    </row>
    <row r="78" spans="1:10" ht="21" x14ac:dyDescent="0.35">
      <c r="A78" s="48"/>
      <c r="B78" s="34">
        <v>45916</v>
      </c>
      <c r="C78" s="35" t="s">
        <v>234</v>
      </c>
      <c r="D78" s="35" t="s">
        <v>37</v>
      </c>
      <c r="E78" s="35" t="s">
        <v>36</v>
      </c>
      <c r="F78" s="36">
        <v>929.66</v>
      </c>
      <c r="G78" s="37" t="s">
        <v>7</v>
      </c>
      <c r="H78" s="35" t="s">
        <v>21</v>
      </c>
      <c r="I78" s="37" t="s">
        <v>24</v>
      </c>
      <c r="J78" s="31" t="s">
        <v>20</v>
      </c>
    </row>
    <row r="79" spans="1:10" ht="21" x14ac:dyDescent="0.35">
      <c r="A79" s="48"/>
      <c r="B79" s="34">
        <v>45915</v>
      </c>
      <c r="C79" s="35" t="s">
        <v>56</v>
      </c>
      <c r="D79" s="35" t="s">
        <v>88</v>
      </c>
      <c r="E79" s="35" t="s">
        <v>36</v>
      </c>
      <c r="F79" s="36">
        <v>1874.02</v>
      </c>
      <c r="G79" s="37" t="s">
        <v>7</v>
      </c>
      <c r="H79" s="35" t="s">
        <v>21</v>
      </c>
      <c r="I79" s="37" t="s">
        <v>42</v>
      </c>
      <c r="J79" s="31" t="s">
        <v>20</v>
      </c>
    </row>
    <row r="80" spans="1:10" ht="21" x14ac:dyDescent="0.35">
      <c r="A80" s="48"/>
      <c r="B80" s="34">
        <v>45919</v>
      </c>
      <c r="C80" s="35" t="s">
        <v>241</v>
      </c>
      <c r="D80" s="35" t="s">
        <v>37</v>
      </c>
      <c r="E80" s="35" t="s">
        <v>36</v>
      </c>
      <c r="F80" s="36">
        <v>130</v>
      </c>
      <c r="G80" s="37" t="s">
        <v>7</v>
      </c>
      <c r="H80" s="37" t="s">
        <v>21</v>
      </c>
      <c r="I80" s="37" t="s">
        <v>11</v>
      </c>
      <c r="J80" s="31" t="s">
        <v>20</v>
      </c>
    </row>
    <row r="81" spans="1:10" ht="21" x14ac:dyDescent="0.35">
      <c r="A81" s="48"/>
      <c r="B81" s="34">
        <v>45922</v>
      </c>
      <c r="C81" s="35" t="s">
        <v>245</v>
      </c>
      <c r="D81" s="35" t="s">
        <v>37</v>
      </c>
      <c r="E81" s="35" t="s">
        <v>36</v>
      </c>
      <c r="F81" s="36">
        <v>675.67</v>
      </c>
      <c r="G81" s="37" t="s">
        <v>7</v>
      </c>
      <c r="H81" s="37" t="s">
        <v>131</v>
      </c>
      <c r="I81" s="37" t="s">
        <v>24</v>
      </c>
      <c r="J81" s="31" t="s">
        <v>20</v>
      </c>
    </row>
    <row r="82" spans="1:10" ht="21" x14ac:dyDescent="0.35">
      <c r="A82" s="48"/>
      <c r="B82" s="34">
        <v>45919</v>
      </c>
      <c r="C82" s="35" t="s">
        <v>59</v>
      </c>
      <c r="D82" s="35" t="s">
        <v>37</v>
      </c>
      <c r="E82" s="35" t="s">
        <v>36</v>
      </c>
      <c r="F82" s="36">
        <v>400.25</v>
      </c>
      <c r="G82" s="37" t="s">
        <v>7</v>
      </c>
      <c r="H82" s="35" t="s">
        <v>21</v>
      </c>
      <c r="I82" s="37" t="s">
        <v>13</v>
      </c>
      <c r="J82" s="31" t="s">
        <v>20</v>
      </c>
    </row>
    <row r="83" spans="1:10" ht="21" x14ac:dyDescent="0.35">
      <c r="A83" s="48"/>
      <c r="B83" s="34">
        <v>45922</v>
      </c>
      <c r="C83" s="35" t="s">
        <v>243</v>
      </c>
      <c r="D83" s="35" t="s">
        <v>37</v>
      </c>
      <c r="E83" s="35" t="s">
        <v>36</v>
      </c>
      <c r="F83" s="36">
        <v>860</v>
      </c>
      <c r="G83" s="37" t="s">
        <v>7</v>
      </c>
      <c r="H83" s="35" t="s">
        <v>131</v>
      </c>
      <c r="I83" s="37" t="s">
        <v>76</v>
      </c>
      <c r="J83" s="31" t="s">
        <v>20</v>
      </c>
    </row>
    <row r="84" spans="1:10" ht="21" x14ac:dyDescent="0.35">
      <c r="A84" s="48"/>
      <c r="B84" s="34">
        <v>45922</v>
      </c>
      <c r="C84" s="35" t="s">
        <v>141</v>
      </c>
      <c r="D84" s="35" t="s">
        <v>37</v>
      </c>
      <c r="E84" s="35" t="s">
        <v>36</v>
      </c>
      <c r="F84" s="36">
        <v>135</v>
      </c>
      <c r="G84" s="37" t="s">
        <v>7</v>
      </c>
      <c r="H84" s="35" t="s">
        <v>21</v>
      </c>
      <c r="I84" s="37" t="s">
        <v>90</v>
      </c>
      <c r="J84" s="31" t="s">
        <v>20</v>
      </c>
    </row>
    <row r="85" spans="1:10" ht="21" x14ac:dyDescent="0.35">
      <c r="A85" s="48"/>
      <c r="B85" s="34">
        <v>45922</v>
      </c>
      <c r="C85" s="35" t="s">
        <v>74</v>
      </c>
      <c r="D85" s="35" t="s">
        <v>37</v>
      </c>
      <c r="E85" s="35" t="s">
        <v>36</v>
      </c>
      <c r="F85" s="36">
        <v>217.25</v>
      </c>
      <c r="G85" s="37" t="s">
        <v>7</v>
      </c>
      <c r="H85" s="35" t="s">
        <v>21</v>
      </c>
      <c r="I85" s="37" t="s">
        <v>26</v>
      </c>
      <c r="J85" s="31" t="s">
        <v>20</v>
      </c>
    </row>
    <row r="86" spans="1:10" ht="21" x14ac:dyDescent="0.35">
      <c r="A86" s="48"/>
      <c r="B86" s="34">
        <v>45922</v>
      </c>
      <c r="C86" s="35" t="s">
        <v>253</v>
      </c>
      <c r="D86" s="35" t="s">
        <v>37</v>
      </c>
      <c r="E86" s="35" t="s">
        <v>36</v>
      </c>
      <c r="F86" s="36">
        <v>102</v>
      </c>
      <c r="G86" s="37" t="s">
        <v>7</v>
      </c>
      <c r="H86" s="35" t="s">
        <v>21</v>
      </c>
      <c r="I86" s="37" t="s">
        <v>254</v>
      </c>
      <c r="J86" s="31" t="s">
        <v>20</v>
      </c>
    </row>
    <row r="87" spans="1:10" ht="21" x14ac:dyDescent="0.35">
      <c r="A87" s="48"/>
      <c r="B87" s="34">
        <v>45922</v>
      </c>
      <c r="C87" s="35" t="s">
        <v>68</v>
      </c>
      <c r="D87" s="35" t="s">
        <v>37</v>
      </c>
      <c r="E87" s="35" t="s">
        <v>36</v>
      </c>
      <c r="F87" s="36">
        <v>55</v>
      </c>
      <c r="G87" s="37" t="s">
        <v>7</v>
      </c>
      <c r="H87" s="35" t="s">
        <v>21</v>
      </c>
      <c r="I87" s="37" t="s">
        <v>12</v>
      </c>
      <c r="J87" s="31" t="s">
        <v>20</v>
      </c>
    </row>
    <row r="88" spans="1:10" ht="21" x14ac:dyDescent="0.35">
      <c r="A88" s="48"/>
      <c r="B88" s="34">
        <v>45922</v>
      </c>
      <c r="C88" s="35" t="s">
        <v>242</v>
      </c>
      <c r="D88" s="35" t="s">
        <v>37</v>
      </c>
      <c r="E88" s="35" t="s">
        <v>36</v>
      </c>
      <c r="F88" s="36">
        <v>520.6</v>
      </c>
      <c r="G88" s="37" t="s">
        <v>7</v>
      </c>
      <c r="H88" s="35" t="s">
        <v>21</v>
      </c>
      <c r="I88" s="37" t="s">
        <v>43</v>
      </c>
      <c r="J88" s="31" t="s">
        <v>20</v>
      </c>
    </row>
    <row r="89" spans="1:10" ht="21" x14ac:dyDescent="0.35">
      <c r="A89" s="48"/>
      <c r="B89" s="34">
        <v>45919</v>
      </c>
      <c r="C89" s="35" t="s">
        <v>242</v>
      </c>
      <c r="D89" s="35" t="s">
        <v>37</v>
      </c>
      <c r="E89" s="35" t="s">
        <v>36</v>
      </c>
      <c r="F89" s="36">
        <v>421.38</v>
      </c>
      <c r="G89" s="37" t="s">
        <v>7</v>
      </c>
      <c r="H89" s="35" t="s">
        <v>21</v>
      </c>
      <c r="I89" s="37" t="s">
        <v>43</v>
      </c>
      <c r="J89" s="31" t="s">
        <v>20</v>
      </c>
    </row>
    <row r="90" spans="1:10" ht="21" x14ac:dyDescent="0.35">
      <c r="A90" s="48"/>
      <c r="B90" s="34">
        <v>45922</v>
      </c>
      <c r="C90" s="35" t="s">
        <v>244</v>
      </c>
      <c r="D90" s="35" t="s">
        <v>61</v>
      </c>
      <c r="E90" s="35" t="s">
        <v>36</v>
      </c>
      <c r="F90" s="36">
        <v>717.47</v>
      </c>
      <c r="G90" s="37" t="s">
        <v>7</v>
      </c>
      <c r="H90" s="35" t="s">
        <v>21</v>
      </c>
      <c r="I90" s="37" t="s">
        <v>24</v>
      </c>
      <c r="J90" s="31" t="s">
        <v>20</v>
      </c>
    </row>
    <row r="91" spans="1:10" ht="21" x14ac:dyDescent="0.35">
      <c r="A91" s="48"/>
      <c r="B91" s="34">
        <v>45922</v>
      </c>
      <c r="C91" s="35" t="s">
        <v>251</v>
      </c>
      <c r="D91" s="35" t="s">
        <v>37</v>
      </c>
      <c r="E91" s="35" t="s">
        <v>36</v>
      </c>
      <c r="F91" s="36">
        <v>182</v>
      </c>
      <c r="G91" s="37" t="s">
        <v>7</v>
      </c>
      <c r="H91" s="35" t="s">
        <v>21</v>
      </c>
      <c r="I91" s="37" t="s">
        <v>252</v>
      </c>
      <c r="J91" s="31" t="s">
        <v>20</v>
      </c>
    </row>
    <row r="92" spans="1:10" ht="21" x14ac:dyDescent="0.35">
      <c r="A92" s="48"/>
      <c r="B92" s="34">
        <v>45922</v>
      </c>
      <c r="C92" s="35" t="s">
        <v>246</v>
      </c>
      <c r="D92" s="35" t="s">
        <v>37</v>
      </c>
      <c r="E92" s="35" t="s">
        <v>36</v>
      </c>
      <c r="F92" s="36">
        <v>645.5</v>
      </c>
      <c r="G92" s="37" t="s">
        <v>7</v>
      </c>
      <c r="H92" s="35" t="s">
        <v>21</v>
      </c>
      <c r="I92" s="37" t="s">
        <v>84</v>
      </c>
      <c r="J92" s="31" t="s">
        <v>20</v>
      </c>
    </row>
    <row r="93" spans="1:10" ht="21" x14ac:dyDescent="0.35">
      <c r="A93" s="48"/>
      <c r="B93" s="34">
        <v>45922</v>
      </c>
      <c r="C93" s="35" t="s">
        <v>248</v>
      </c>
      <c r="D93" s="35" t="s">
        <v>37</v>
      </c>
      <c r="E93" s="35" t="s">
        <v>36</v>
      </c>
      <c r="F93" s="36">
        <v>114</v>
      </c>
      <c r="G93" s="37" t="s">
        <v>7</v>
      </c>
      <c r="H93" s="35" t="s">
        <v>21</v>
      </c>
      <c r="I93" s="37" t="s">
        <v>249</v>
      </c>
      <c r="J93" s="31" t="s">
        <v>20</v>
      </c>
    </row>
    <row r="94" spans="1:10" ht="21" x14ac:dyDescent="0.35">
      <c r="A94" s="48"/>
      <c r="B94" s="34">
        <v>45922</v>
      </c>
      <c r="C94" s="35" t="s">
        <v>250</v>
      </c>
      <c r="D94" s="35" t="s">
        <v>37</v>
      </c>
      <c r="E94" s="35" t="s">
        <v>36</v>
      </c>
      <c r="F94" s="36">
        <v>347.5</v>
      </c>
      <c r="G94" s="37" t="s">
        <v>7</v>
      </c>
      <c r="H94" s="35" t="s">
        <v>21</v>
      </c>
      <c r="I94" s="37" t="s">
        <v>22</v>
      </c>
      <c r="J94" s="31" t="s">
        <v>20</v>
      </c>
    </row>
    <row r="95" spans="1:10" ht="21" x14ac:dyDescent="0.35">
      <c r="A95" s="48"/>
      <c r="B95" s="34">
        <v>45922</v>
      </c>
      <c r="C95" s="35" t="s">
        <v>247</v>
      </c>
      <c r="D95" s="35" t="s">
        <v>37</v>
      </c>
      <c r="E95" s="35" t="s">
        <v>36</v>
      </c>
      <c r="F95" s="36">
        <v>194</v>
      </c>
      <c r="G95" s="37" t="s">
        <v>7</v>
      </c>
      <c r="H95" s="35" t="s">
        <v>21</v>
      </c>
      <c r="I95" s="37" t="s">
        <v>51</v>
      </c>
      <c r="J95" s="31" t="s">
        <v>20</v>
      </c>
    </row>
    <row r="96" spans="1:10" ht="21" x14ac:dyDescent="0.35">
      <c r="A96" s="48"/>
      <c r="B96" s="34">
        <v>45922</v>
      </c>
      <c r="C96" s="35" t="s">
        <v>49</v>
      </c>
      <c r="D96" s="35" t="s">
        <v>88</v>
      </c>
      <c r="E96" s="35" t="s">
        <v>36</v>
      </c>
      <c r="F96" s="36">
        <v>2899.71</v>
      </c>
      <c r="G96" s="37" t="s">
        <v>7</v>
      </c>
      <c r="H96" s="35" t="s">
        <v>46</v>
      </c>
      <c r="I96" s="37" t="s">
        <v>42</v>
      </c>
      <c r="J96" s="31" t="s">
        <v>20</v>
      </c>
    </row>
    <row r="97" spans="1:10" ht="21" x14ac:dyDescent="0.35">
      <c r="A97" s="48"/>
      <c r="B97" s="34">
        <v>45926</v>
      </c>
      <c r="C97" s="35" t="s">
        <v>255</v>
      </c>
      <c r="D97" s="35" t="s">
        <v>41</v>
      </c>
      <c r="E97" s="35" t="s">
        <v>36</v>
      </c>
      <c r="F97" s="36">
        <v>1070.5</v>
      </c>
      <c r="G97" s="37" t="s">
        <v>7</v>
      </c>
      <c r="H97" s="35" t="s">
        <v>21</v>
      </c>
      <c r="I97" s="37" t="s">
        <v>24</v>
      </c>
      <c r="J97" s="31" t="s">
        <v>20</v>
      </c>
    </row>
    <row r="98" spans="1:10" ht="21" x14ac:dyDescent="0.35">
      <c r="A98" s="48"/>
      <c r="B98" s="34">
        <v>45926</v>
      </c>
      <c r="C98" s="35" t="s">
        <v>256</v>
      </c>
      <c r="D98" s="35" t="s">
        <v>37</v>
      </c>
      <c r="E98" s="35" t="s">
        <v>36</v>
      </c>
      <c r="F98" s="36">
        <v>440.6</v>
      </c>
      <c r="G98" s="37" t="s">
        <v>7</v>
      </c>
      <c r="H98" s="35" t="s">
        <v>21</v>
      </c>
      <c r="I98" s="37" t="s">
        <v>257</v>
      </c>
      <c r="J98" s="31" t="s">
        <v>20</v>
      </c>
    </row>
    <row r="99" spans="1:10" ht="21" x14ac:dyDescent="0.35">
      <c r="A99" s="48"/>
      <c r="B99" s="34">
        <v>45926</v>
      </c>
      <c r="C99" s="35" t="s">
        <v>164</v>
      </c>
      <c r="D99" s="35" t="s">
        <v>37</v>
      </c>
      <c r="E99" s="35" t="s">
        <v>36</v>
      </c>
      <c r="F99" s="36">
        <v>247.5</v>
      </c>
      <c r="G99" s="37" t="s">
        <v>7</v>
      </c>
      <c r="H99" s="35" t="s">
        <v>21</v>
      </c>
      <c r="I99" s="37" t="s">
        <v>24</v>
      </c>
      <c r="J99" s="31" t="s">
        <v>20</v>
      </c>
    </row>
    <row r="100" spans="1:10" ht="21" x14ac:dyDescent="0.35">
      <c r="A100" s="48"/>
      <c r="B100" s="34">
        <v>45926</v>
      </c>
      <c r="C100" s="35" t="s">
        <v>81</v>
      </c>
      <c r="D100" s="35" t="s">
        <v>37</v>
      </c>
      <c r="E100" s="35" t="s">
        <v>36</v>
      </c>
      <c r="F100" s="36">
        <v>287.5</v>
      </c>
      <c r="G100" s="37" t="s">
        <v>7</v>
      </c>
      <c r="H100" s="35" t="s">
        <v>21</v>
      </c>
      <c r="I100" s="37" t="s">
        <v>45</v>
      </c>
      <c r="J100" s="31" t="s">
        <v>20</v>
      </c>
    </row>
    <row r="101" spans="1:10" ht="21" x14ac:dyDescent="0.35">
      <c r="A101" s="48"/>
      <c r="B101" s="34">
        <v>45926</v>
      </c>
      <c r="C101" s="35" t="s">
        <v>258</v>
      </c>
      <c r="D101" s="35" t="s">
        <v>37</v>
      </c>
      <c r="E101" s="35" t="s">
        <v>36</v>
      </c>
      <c r="F101" s="36">
        <v>143</v>
      </c>
      <c r="G101" s="37" t="s">
        <v>7</v>
      </c>
      <c r="H101" s="37" t="s">
        <v>131</v>
      </c>
      <c r="I101" s="37" t="s">
        <v>9</v>
      </c>
      <c r="J101" s="31" t="s">
        <v>20</v>
      </c>
    </row>
    <row r="102" spans="1:10" s="14" customFormat="1" ht="21" x14ac:dyDescent="0.35">
      <c r="A102" s="48"/>
      <c r="B102" s="34">
        <v>45926</v>
      </c>
      <c r="C102" s="35" t="s">
        <v>260</v>
      </c>
      <c r="D102" s="35" t="s">
        <v>41</v>
      </c>
      <c r="E102" s="35" t="s">
        <v>36</v>
      </c>
      <c r="F102" s="36">
        <v>935</v>
      </c>
      <c r="G102" s="37" t="s">
        <v>7</v>
      </c>
      <c r="H102" s="37" t="s">
        <v>21</v>
      </c>
      <c r="I102" s="37" t="s">
        <v>16</v>
      </c>
      <c r="J102" s="31" t="s">
        <v>20</v>
      </c>
    </row>
    <row r="103" spans="1:10" s="14" customFormat="1" ht="21" x14ac:dyDescent="0.35">
      <c r="A103" s="48"/>
      <c r="B103" s="34">
        <v>45926</v>
      </c>
      <c r="C103" s="35" t="s">
        <v>261</v>
      </c>
      <c r="D103" s="35" t="s">
        <v>61</v>
      </c>
      <c r="E103" s="35" t="s">
        <v>36</v>
      </c>
      <c r="F103" s="36">
        <v>226.9</v>
      </c>
      <c r="G103" s="37" t="s">
        <v>7</v>
      </c>
      <c r="H103" s="37" t="s">
        <v>21</v>
      </c>
      <c r="I103" s="37" t="s">
        <v>11</v>
      </c>
      <c r="J103" s="31" t="s">
        <v>20</v>
      </c>
    </row>
    <row r="104" spans="1:10" s="14" customFormat="1" ht="21" x14ac:dyDescent="0.35">
      <c r="A104" s="48"/>
      <c r="B104" s="34">
        <v>45926</v>
      </c>
      <c r="C104" s="35" t="s">
        <v>262</v>
      </c>
      <c r="D104" s="35" t="s">
        <v>37</v>
      </c>
      <c r="E104" s="35" t="s">
        <v>36</v>
      </c>
      <c r="F104" s="36">
        <v>271.82</v>
      </c>
      <c r="G104" s="37" t="s">
        <v>7</v>
      </c>
      <c r="H104" s="37" t="s">
        <v>21</v>
      </c>
      <c r="I104" s="37" t="s">
        <v>10</v>
      </c>
      <c r="J104" s="31" t="s">
        <v>20</v>
      </c>
    </row>
    <row r="105" spans="1:10" s="14" customFormat="1" ht="21" x14ac:dyDescent="0.35">
      <c r="A105" s="48"/>
      <c r="B105" s="34">
        <v>45926</v>
      </c>
      <c r="C105" s="35" t="s">
        <v>263</v>
      </c>
      <c r="D105" s="35" t="s">
        <v>40</v>
      </c>
      <c r="E105" s="35" t="s">
        <v>36</v>
      </c>
      <c r="F105" s="36">
        <v>370</v>
      </c>
      <c r="G105" s="37" t="s">
        <v>7</v>
      </c>
      <c r="H105" s="37" t="s">
        <v>21</v>
      </c>
      <c r="I105" s="37" t="s">
        <v>16</v>
      </c>
      <c r="J105" s="31" t="s">
        <v>20</v>
      </c>
    </row>
    <row r="106" spans="1:10" s="14" customFormat="1" ht="21" x14ac:dyDescent="0.35">
      <c r="A106" s="48"/>
      <c r="B106" s="34">
        <v>45929</v>
      </c>
      <c r="C106" s="35" t="s">
        <v>27</v>
      </c>
      <c r="D106" s="35" t="s">
        <v>37</v>
      </c>
      <c r="E106" s="35" t="s">
        <v>36</v>
      </c>
      <c r="F106" s="36">
        <v>80</v>
      </c>
      <c r="G106" s="37" t="s">
        <v>7</v>
      </c>
      <c r="H106" s="37" t="s">
        <v>21</v>
      </c>
      <c r="I106" s="37" t="s">
        <v>22</v>
      </c>
      <c r="J106" s="31" t="s">
        <v>20</v>
      </c>
    </row>
    <row r="107" spans="1:10" s="14" customFormat="1" ht="21" x14ac:dyDescent="0.35">
      <c r="A107" s="48"/>
      <c r="B107" s="34">
        <v>45929</v>
      </c>
      <c r="C107" s="35" t="s">
        <v>27</v>
      </c>
      <c r="D107" s="35" t="s">
        <v>37</v>
      </c>
      <c r="E107" s="35" t="s">
        <v>36</v>
      </c>
      <c r="F107" s="36">
        <v>220</v>
      </c>
      <c r="G107" s="37" t="s">
        <v>7</v>
      </c>
      <c r="H107" s="37" t="s">
        <v>21</v>
      </c>
      <c r="I107" s="37" t="s">
        <v>22</v>
      </c>
      <c r="J107" s="31" t="s">
        <v>20</v>
      </c>
    </row>
    <row r="108" spans="1:10" s="14" customFormat="1" ht="21" x14ac:dyDescent="0.35">
      <c r="A108" s="48"/>
      <c r="B108" s="34">
        <v>45929</v>
      </c>
      <c r="C108" s="35" t="s">
        <v>250</v>
      </c>
      <c r="D108" s="35" t="s">
        <v>37</v>
      </c>
      <c r="E108" s="35" t="s">
        <v>36</v>
      </c>
      <c r="F108" s="36">
        <v>290</v>
      </c>
      <c r="G108" s="37" t="s">
        <v>7</v>
      </c>
      <c r="H108" s="37" t="s">
        <v>21</v>
      </c>
      <c r="I108" s="37" t="s">
        <v>22</v>
      </c>
      <c r="J108" s="31" t="s">
        <v>20</v>
      </c>
    </row>
    <row r="109" spans="1:10" s="14" customFormat="1" ht="21" x14ac:dyDescent="0.35">
      <c r="A109" s="48"/>
      <c r="B109" s="34">
        <v>45929</v>
      </c>
      <c r="C109" s="35" t="s">
        <v>264</v>
      </c>
      <c r="D109" s="35" t="s">
        <v>37</v>
      </c>
      <c r="E109" s="35" t="s">
        <v>36</v>
      </c>
      <c r="F109" s="36">
        <v>336.25</v>
      </c>
      <c r="G109" s="37" t="s">
        <v>7</v>
      </c>
      <c r="H109" s="37" t="s">
        <v>21</v>
      </c>
      <c r="I109" s="37" t="s">
        <v>265</v>
      </c>
      <c r="J109" s="31" t="s">
        <v>20</v>
      </c>
    </row>
    <row r="110" spans="1:10" ht="21" x14ac:dyDescent="0.35">
      <c r="A110" s="48"/>
      <c r="B110" s="34">
        <v>45929</v>
      </c>
      <c r="C110" s="35" t="s">
        <v>85</v>
      </c>
      <c r="D110" s="35" t="s">
        <v>37</v>
      </c>
      <c r="E110" s="35" t="s">
        <v>36</v>
      </c>
      <c r="F110" s="36">
        <v>953.75</v>
      </c>
      <c r="G110" s="37" t="s">
        <v>7</v>
      </c>
      <c r="H110" s="37" t="s">
        <v>21</v>
      </c>
      <c r="I110" s="37" t="s">
        <v>24</v>
      </c>
      <c r="J110" s="31" t="s">
        <v>20</v>
      </c>
    </row>
    <row r="111" spans="1:10" ht="21" x14ac:dyDescent="0.35">
      <c r="A111" s="48"/>
      <c r="B111" s="34">
        <v>45929</v>
      </c>
      <c r="C111" s="35" t="s">
        <v>266</v>
      </c>
      <c r="D111" s="35" t="s">
        <v>88</v>
      </c>
      <c r="E111" s="35" t="s">
        <v>36</v>
      </c>
      <c r="F111" s="36">
        <v>1105.5999999999999</v>
      </c>
      <c r="G111" s="37" t="s">
        <v>7</v>
      </c>
      <c r="H111" s="35" t="s">
        <v>21</v>
      </c>
      <c r="I111" s="37" t="s">
        <v>10</v>
      </c>
      <c r="J111" s="31" t="s">
        <v>20</v>
      </c>
    </row>
    <row r="112" spans="1:10" ht="21" x14ac:dyDescent="0.35">
      <c r="A112" s="48"/>
      <c r="B112" s="34">
        <v>45929</v>
      </c>
      <c r="C112" s="35" t="s">
        <v>267</v>
      </c>
      <c r="D112" s="35" t="s">
        <v>37</v>
      </c>
      <c r="E112" s="35" t="s">
        <v>36</v>
      </c>
      <c r="F112" s="36">
        <v>150</v>
      </c>
      <c r="G112" s="37" t="s">
        <v>7</v>
      </c>
      <c r="H112" s="37" t="s">
        <v>21</v>
      </c>
      <c r="I112" s="37" t="s">
        <v>90</v>
      </c>
      <c r="J112" s="31" t="s">
        <v>20</v>
      </c>
    </row>
    <row r="113" spans="1:10" ht="21" x14ac:dyDescent="0.35">
      <c r="A113" s="48"/>
      <c r="B113" s="34">
        <v>46294</v>
      </c>
      <c r="C113" s="35" t="s">
        <v>268</v>
      </c>
      <c r="D113" s="35" t="s">
        <v>40</v>
      </c>
      <c r="E113" s="35" t="s">
        <v>36</v>
      </c>
      <c r="F113" s="36">
        <v>526.66</v>
      </c>
      <c r="G113" s="37" t="s">
        <v>7</v>
      </c>
      <c r="H113" s="37" t="s">
        <v>21</v>
      </c>
      <c r="I113" s="37" t="s">
        <v>45</v>
      </c>
      <c r="J113" s="31" t="s">
        <v>20</v>
      </c>
    </row>
    <row r="114" spans="1:10" ht="21" x14ac:dyDescent="0.35">
      <c r="A114" s="48"/>
      <c r="B114" s="34">
        <v>45929</v>
      </c>
      <c r="C114" s="35" t="s">
        <v>269</v>
      </c>
      <c r="D114" s="35" t="s">
        <v>40</v>
      </c>
      <c r="E114" s="35" t="s">
        <v>36</v>
      </c>
      <c r="F114" s="36">
        <v>743.33</v>
      </c>
      <c r="G114" s="37" t="s">
        <v>7</v>
      </c>
      <c r="H114" s="37" t="s">
        <v>21</v>
      </c>
      <c r="I114" s="37" t="s">
        <v>12</v>
      </c>
      <c r="J114" s="31" t="s">
        <v>20</v>
      </c>
    </row>
    <row r="115" spans="1:10" ht="21" x14ac:dyDescent="0.35">
      <c r="A115" s="48"/>
      <c r="B115" s="34">
        <v>45929</v>
      </c>
      <c r="C115" s="35" t="s">
        <v>270</v>
      </c>
      <c r="D115" s="35" t="s">
        <v>40</v>
      </c>
      <c r="E115" s="35" t="s">
        <v>36</v>
      </c>
      <c r="F115" s="36">
        <v>460</v>
      </c>
      <c r="G115" s="37" t="s">
        <v>7</v>
      </c>
      <c r="H115" s="37" t="s">
        <v>21</v>
      </c>
      <c r="I115" s="37" t="s">
        <v>16</v>
      </c>
      <c r="J115" s="31" t="s">
        <v>20</v>
      </c>
    </row>
    <row r="116" spans="1:10" ht="21" x14ac:dyDescent="0.35">
      <c r="A116" s="48"/>
      <c r="B116" s="34">
        <v>45930</v>
      </c>
      <c r="C116" s="35" t="s">
        <v>271</v>
      </c>
      <c r="D116" s="35" t="s">
        <v>41</v>
      </c>
      <c r="E116" s="35" t="s">
        <v>36</v>
      </c>
      <c r="F116" s="36">
        <v>495</v>
      </c>
      <c r="G116" s="37" t="s">
        <v>7</v>
      </c>
      <c r="H116" s="37" t="s">
        <v>21</v>
      </c>
      <c r="I116" s="37" t="s">
        <v>51</v>
      </c>
      <c r="J116" s="31" t="s">
        <v>20</v>
      </c>
    </row>
    <row r="117" spans="1:10" ht="21" x14ac:dyDescent="0.35">
      <c r="A117" s="48"/>
      <c r="B117" s="34">
        <v>45930</v>
      </c>
      <c r="C117" s="35" t="s">
        <v>272</v>
      </c>
      <c r="D117" s="35" t="s">
        <v>41</v>
      </c>
      <c r="E117" s="35" t="s">
        <v>36</v>
      </c>
      <c r="F117" s="36">
        <v>660.38</v>
      </c>
      <c r="G117" s="37" t="s">
        <v>7</v>
      </c>
      <c r="H117" s="37" t="s">
        <v>21</v>
      </c>
      <c r="I117" s="37" t="s">
        <v>26</v>
      </c>
      <c r="J117" s="31" t="s">
        <v>20</v>
      </c>
    </row>
    <row r="118" spans="1:10" ht="21" x14ac:dyDescent="0.35">
      <c r="A118" s="48"/>
      <c r="B118" s="34"/>
      <c r="C118" s="35"/>
      <c r="D118" s="35"/>
      <c r="E118" s="35"/>
      <c r="F118" s="36"/>
      <c r="G118" s="37"/>
      <c r="H118" s="37"/>
      <c r="I118" s="37"/>
      <c r="J118" s="31"/>
    </row>
    <row r="119" spans="1:10" ht="21" x14ac:dyDescent="0.35">
      <c r="A119" s="48"/>
      <c r="B119" s="34"/>
      <c r="C119" s="35"/>
      <c r="D119" s="35"/>
      <c r="E119" s="35"/>
      <c r="F119" s="36"/>
      <c r="G119" s="37"/>
      <c r="H119" s="37"/>
      <c r="I119" s="37"/>
      <c r="J119" s="31"/>
    </row>
    <row r="120" spans="1:10" ht="21" x14ac:dyDescent="0.35">
      <c r="A120" s="48"/>
      <c r="B120" s="37"/>
      <c r="C120" s="37" t="s">
        <v>8</v>
      </c>
      <c r="D120" s="37"/>
      <c r="E120" s="37"/>
      <c r="F120" s="36">
        <f>SUM(F28:F117)</f>
        <v>78082.780000000028</v>
      </c>
      <c r="G120" s="37"/>
      <c r="H120" s="37"/>
      <c r="I120" s="37"/>
      <c r="J120" s="31"/>
    </row>
  </sheetData>
  <mergeCells count="2">
    <mergeCell ref="A1:G1"/>
    <mergeCell ref="A26:G26"/>
  </mergeCells>
  <conditionalFormatting sqref="G8:H10 G85:H88 G12:H18 G29:H31 G22:H22 G82:H83 G112:H113 G24:H25 G90:H110 G116:H119 G47:H53 G70:H78 G55:H68 G36:H44">
    <cfRule type="containsText" dxfId="242" priority="355" operator="containsText" text="ATRASADO">
      <formula>NOT(ISERROR(SEARCH("ATRASADO",G8)))</formula>
    </cfRule>
    <cfRule type="containsText" dxfId="241" priority="356" operator="containsText" text="A PAGAR">
      <formula>NOT(ISERROR(SEARCH("A PAGAR",G8)))</formula>
    </cfRule>
    <cfRule type="containsText" dxfId="240" priority="357" operator="containsText" text="PAGO">
      <formula>NOT(ISERROR(SEARCH("PAGO",G8)))</formula>
    </cfRule>
  </conditionalFormatting>
  <conditionalFormatting sqref="G28">
    <cfRule type="containsText" dxfId="239" priority="295" operator="containsText" text="ATRASADO">
      <formula>NOT(ISERROR(SEARCH("ATRASADO",G28)))</formula>
    </cfRule>
    <cfRule type="containsText" dxfId="238" priority="296" operator="containsText" text="A PAGAR">
      <formula>NOT(ISERROR(SEARCH("A PAGAR",G28)))</formula>
    </cfRule>
    <cfRule type="containsText" dxfId="237" priority="297" operator="containsText" text="PAGO">
      <formula>NOT(ISERROR(SEARCH("PAGO",G28)))</formula>
    </cfRule>
  </conditionalFormatting>
  <conditionalFormatting sqref="G120:H120">
    <cfRule type="containsText" dxfId="236" priority="289" operator="containsText" text="ATRASADO">
      <formula>NOT(ISERROR(SEARCH("ATRASADO",G120)))</formula>
    </cfRule>
    <cfRule type="containsText" dxfId="235" priority="290" operator="containsText" text="A PAGAR">
      <formula>NOT(ISERROR(SEARCH("A PAGAR",G120)))</formula>
    </cfRule>
    <cfRule type="containsText" dxfId="234" priority="291" operator="containsText" text="PAGO">
      <formula>NOT(ISERROR(SEARCH("PAGO",G120)))</formula>
    </cfRule>
  </conditionalFormatting>
  <conditionalFormatting sqref="G84:H84">
    <cfRule type="containsText" dxfId="233" priority="280" operator="containsText" text="ATRASADO">
      <formula>NOT(ISERROR(SEARCH("ATRASADO",G84)))</formula>
    </cfRule>
    <cfRule type="containsText" dxfId="232" priority="281" operator="containsText" text="A PAGAR">
      <formula>NOT(ISERROR(SEARCH("A PAGAR",G84)))</formula>
    </cfRule>
    <cfRule type="containsText" dxfId="231" priority="282" operator="containsText" text="PAGO">
      <formula>NOT(ISERROR(SEARCH("PAGO",G84)))</formula>
    </cfRule>
  </conditionalFormatting>
  <conditionalFormatting sqref="G89:H89">
    <cfRule type="containsText" dxfId="230" priority="277" operator="containsText" text="ATRASADO">
      <formula>NOT(ISERROR(SEARCH("ATRASADO",G89)))</formula>
    </cfRule>
    <cfRule type="containsText" dxfId="229" priority="278" operator="containsText" text="A PAGAR">
      <formula>NOT(ISERROR(SEARCH("A PAGAR",G89)))</formula>
    </cfRule>
    <cfRule type="containsText" dxfId="228" priority="279" operator="containsText" text="PAGO">
      <formula>NOT(ISERROR(SEARCH("PAGO",G89)))</formula>
    </cfRule>
  </conditionalFormatting>
  <conditionalFormatting sqref="G7">
    <cfRule type="containsText" dxfId="227" priority="271" operator="containsText" text="ATRASADO">
      <formula>NOT(ISERROR(SEARCH("ATRASADO",G7)))</formula>
    </cfRule>
    <cfRule type="containsText" dxfId="226" priority="272" operator="containsText" text="A PAGAR">
      <formula>NOT(ISERROR(SEARCH("A PAGAR",G7)))</formula>
    </cfRule>
    <cfRule type="containsText" dxfId="225" priority="273" operator="containsText" text="PAGO">
      <formula>NOT(ISERROR(SEARCH("PAGO",G7)))</formula>
    </cfRule>
  </conditionalFormatting>
  <conditionalFormatting sqref="G3:H4">
    <cfRule type="containsText" dxfId="224" priority="268" operator="containsText" text="ATRASADO">
      <formula>NOT(ISERROR(SEARCH("ATRASADO",G3)))</formula>
    </cfRule>
    <cfRule type="containsText" dxfId="223" priority="269" operator="containsText" text="A PAGAR">
      <formula>NOT(ISERROR(SEARCH("A PAGAR",G3)))</formula>
    </cfRule>
    <cfRule type="containsText" dxfId="222" priority="270" operator="containsText" text="PAGO">
      <formula>NOT(ISERROR(SEARCH("PAGO",G3)))</formula>
    </cfRule>
  </conditionalFormatting>
  <conditionalFormatting sqref="G11:H11">
    <cfRule type="containsText" dxfId="221" priority="250" operator="containsText" text="ATRASADO">
      <formula>NOT(ISERROR(SEARCH("ATRASADO",G11)))</formula>
    </cfRule>
    <cfRule type="containsText" dxfId="220" priority="251" operator="containsText" text="A PAGAR">
      <formula>NOT(ISERROR(SEARCH("A PAGAR",G11)))</formula>
    </cfRule>
    <cfRule type="containsText" dxfId="219" priority="252" operator="containsText" text="PAGO">
      <formula>NOT(ISERROR(SEARCH("PAGO",G11)))</formula>
    </cfRule>
  </conditionalFormatting>
  <conditionalFormatting sqref="G35:H35">
    <cfRule type="containsText" dxfId="218" priority="229" operator="containsText" text="ATRASADO">
      <formula>NOT(ISERROR(SEARCH("ATRASADO",G35)))</formula>
    </cfRule>
    <cfRule type="containsText" dxfId="217" priority="230" operator="containsText" text="A PAGAR">
      <formula>NOT(ISERROR(SEARCH("A PAGAR",G35)))</formula>
    </cfRule>
    <cfRule type="containsText" dxfId="216" priority="231" operator="containsText" text="PAGO">
      <formula>NOT(ISERROR(SEARCH("PAGO",G35)))</formula>
    </cfRule>
  </conditionalFormatting>
  <conditionalFormatting sqref="G79:H79">
    <cfRule type="containsText" dxfId="215" priority="214" operator="containsText" text="ATRASADO">
      <formula>NOT(ISERROR(SEARCH("ATRASADO",G79)))</formula>
    </cfRule>
    <cfRule type="containsText" dxfId="214" priority="215" operator="containsText" text="A PAGAR">
      <formula>NOT(ISERROR(SEARCH("A PAGAR",G79)))</formula>
    </cfRule>
    <cfRule type="containsText" dxfId="213" priority="216" operator="containsText" text="PAGO">
      <formula>NOT(ISERROR(SEARCH("PAGO",G79)))</formula>
    </cfRule>
  </conditionalFormatting>
  <conditionalFormatting sqref="G80:H80">
    <cfRule type="containsText" dxfId="212" priority="211" operator="containsText" text="ATRASADO">
      <formula>NOT(ISERROR(SEARCH("ATRASADO",G80)))</formula>
    </cfRule>
    <cfRule type="containsText" dxfId="211" priority="212" operator="containsText" text="A PAGAR">
      <formula>NOT(ISERROR(SEARCH("A PAGAR",G80)))</formula>
    </cfRule>
    <cfRule type="containsText" dxfId="210" priority="213" operator="containsText" text="PAGO">
      <formula>NOT(ISERROR(SEARCH("PAGO",G80)))</formula>
    </cfRule>
  </conditionalFormatting>
  <conditionalFormatting sqref="G32:H33">
    <cfRule type="containsText" dxfId="209" priority="187" operator="containsText" text="ATRASADO">
      <formula>NOT(ISERROR(SEARCH("ATRASADO",G32)))</formula>
    </cfRule>
    <cfRule type="containsText" dxfId="208" priority="188" operator="containsText" text="A PAGAR">
      <formula>NOT(ISERROR(SEARCH("A PAGAR",G32)))</formula>
    </cfRule>
    <cfRule type="containsText" dxfId="207" priority="189" operator="containsText" text="PAGO">
      <formula>NOT(ISERROR(SEARCH("PAGO",G32)))</formula>
    </cfRule>
  </conditionalFormatting>
  <conditionalFormatting sqref="G34:H34">
    <cfRule type="containsText" dxfId="206" priority="172" operator="containsText" text="ATRASADO">
      <formula>NOT(ISERROR(SEARCH("ATRASADO",G34)))</formula>
    </cfRule>
    <cfRule type="containsText" dxfId="205" priority="173" operator="containsText" text="A PAGAR">
      <formula>NOT(ISERROR(SEARCH("A PAGAR",G34)))</formula>
    </cfRule>
    <cfRule type="containsText" dxfId="204" priority="174" operator="containsText" text="PAGO">
      <formula>NOT(ISERROR(SEARCH("PAGO",G34)))</formula>
    </cfRule>
  </conditionalFormatting>
  <conditionalFormatting sqref="G45:H46">
    <cfRule type="containsText" dxfId="203" priority="166" operator="containsText" text="ATRASADO">
      <formula>NOT(ISERROR(SEARCH("ATRASADO",G45)))</formula>
    </cfRule>
    <cfRule type="containsText" dxfId="202" priority="167" operator="containsText" text="A PAGAR">
      <formula>NOT(ISERROR(SEARCH("A PAGAR",G45)))</formula>
    </cfRule>
    <cfRule type="containsText" dxfId="201" priority="168" operator="containsText" text="PAGO">
      <formula>NOT(ISERROR(SEARCH("PAGO",G45)))</formula>
    </cfRule>
  </conditionalFormatting>
  <conditionalFormatting sqref="G5:H5">
    <cfRule type="containsText" dxfId="200" priority="163" operator="containsText" text="ATRASADO">
      <formula>NOT(ISERROR(SEARCH("ATRASADO",G5)))</formula>
    </cfRule>
    <cfRule type="containsText" dxfId="199" priority="164" operator="containsText" text="A PAGAR">
      <formula>NOT(ISERROR(SEARCH("A PAGAR",G5)))</formula>
    </cfRule>
    <cfRule type="containsText" dxfId="198" priority="165" operator="containsText" text="PAGO">
      <formula>NOT(ISERROR(SEARCH("PAGO",G5)))</formula>
    </cfRule>
  </conditionalFormatting>
  <conditionalFormatting sqref="G6:H6">
    <cfRule type="containsText" dxfId="197" priority="160" operator="containsText" text="ATRASADO">
      <formula>NOT(ISERROR(SEARCH("ATRASADO",G6)))</formula>
    </cfRule>
    <cfRule type="containsText" dxfId="196" priority="161" operator="containsText" text="A PAGAR">
      <formula>NOT(ISERROR(SEARCH("A PAGAR",G6)))</formula>
    </cfRule>
    <cfRule type="containsText" dxfId="195" priority="162" operator="containsText" text="PAGO">
      <formula>NOT(ISERROR(SEARCH("PAGO",G6)))</formula>
    </cfRule>
  </conditionalFormatting>
  <conditionalFormatting sqref="G54:H54">
    <cfRule type="containsText" dxfId="194" priority="145" operator="containsText" text="ATRASADO">
      <formula>NOT(ISERROR(SEARCH("ATRASADO",G54)))</formula>
    </cfRule>
    <cfRule type="containsText" dxfId="193" priority="146" operator="containsText" text="A PAGAR">
      <formula>NOT(ISERROR(SEARCH("A PAGAR",G54)))</formula>
    </cfRule>
    <cfRule type="containsText" dxfId="192" priority="147" operator="containsText" text="PAGO">
      <formula>NOT(ISERROR(SEARCH("PAGO",G54)))</formula>
    </cfRule>
  </conditionalFormatting>
  <conditionalFormatting sqref="G69:H69">
    <cfRule type="containsText" dxfId="191" priority="133" operator="containsText" text="ATRASADO">
      <formula>NOT(ISERROR(SEARCH("ATRASADO",G69)))</formula>
    </cfRule>
    <cfRule type="containsText" dxfId="190" priority="134" operator="containsText" text="A PAGAR">
      <formula>NOT(ISERROR(SEARCH("A PAGAR",G69)))</formula>
    </cfRule>
    <cfRule type="containsText" dxfId="189" priority="135" operator="containsText" text="PAGO">
      <formula>NOT(ISERROR(SEARCH("PAGO",G69)))</formula>
    </cfRule>
  </conditionalFormatting>
  <conditionalFormatting sqref="G19:H21">
    <cfRule type="containsText" dxfId="188" priority="130" operator="containsText" text="ATRASADO">
      <formula>NOT(ISERROR(SEARCH("ATRASADO",G19)))</formula>
    </cfRule>
    <cfRule type="containsText" dxfId="187" priority="131" operator="containsText" text="A PAGAR">
      <formula>NOT(ISERROR(SEARCH("A PAGAR",G19)))</formula>
    </cfRule>
    <cfRule type="containsText" dxfId="186" priority="132" operator="containsText" text="PAGO">
      <formula>NOT(ISERROR(SEARCH("PAGO",G19)))</formula>
    </cfRule>
  </conditionalFormatting>
  <conditionalFormatting sqref="G81:H81">
    <cfRule type="containsText" dxfId="185" priority="121" operator="containsText" text="ATRASADO">
      <formula>NOT(ISERROR(SEARCH("ATRASADO",G81)))</formula>
    </cfRule>
    <cfRule type="containsText" dxfId="184" priority="122" operator="containsText" text="A PAGAR">
      <formula>NOT(ISERROR(SEARCH("A PAGAR",G81)))</formula>
    </cfRule>
    <cfRule type="containsText" dxfId="183" priority="123" operator="containsText" text="PAGO">
      <formula>NOT(ISERROR(SEARCH("PAGO",G81)))</formula>
    </cfRule>
  </conditionalFormatting>
  <conditionalFormatting sqref="G23:H23">
    <cfRule type="containsText" dxfId="182" priority="118" operator="containsText" text="ATRASADO">
      <formula>NOT(ISERROR(SEARCH("ATRASADO",G23)))</formula>
    </cfRule>
    <cfRule type="containsText" dxfId="181" priority="119" operator="containsText" text="A PAGAR">
      <formula>NOT(ISERROR(SEARCH("A PAGAR",G23)))</formula>
    </cfRule>
    <cfRule type="containsText" dxfId="180" priority="120" operator="containsText" text="PAGO">
      <formula>NOT(ISERROR(SEARCH("PAGO",G23)))</formula>
    </cfRule>
  </conditionalFormatting>
  <conditionalFormatting sqref="G111:H111">
    <cfRule type="containsText" dxfId="179" priority="109" operator="containsText" text="ATRASADO">
      <formula>NOT(ISERROR(SEARCH("ATRASADO",G111)))</formula>
    </cfRule>
    <cfRule type="containsText" dxfId="178" priority="110" operator="containsText" text="A PAGAR">
      <formula>NOT(ISERROR(SEARCH("A PAGAR",G111)))</formula>
    </cfRule>
    <cfRule type="containsText" dxfId="177" priority="111" operator="containsText" text="PAGO">
      <formula>NOT(ISERROR(SEARCH("PAGO",G111)))</formula>
    </cfRule>
  </conditionalFormatting>
  <conditionalFormatting sqref="G114:H115">
    <cfRule type="containsText" dxfId="176" priority="103" operator="containsText" text="ATRASADO">
      <formula>NOT(ISERROR(SEARCH("ATRASADO",G114)))</formula>
    </cfRule>
    <cfRule type="containsText" dxfId="175" priority="104" operator="containsText" text="A PAGAR">
      <formula>NOT(ISERROR(SEARCH("A PAGAR",G114)))</formula>
    </cfRule>
    <cfRule type="containsText" dxfId="174" priority="105" operator="containsText" text="PAGO">
      <formula>NOT(ISERROR(SEARCH("PAGO",G114)))</formula>
    </cfRule>
  </conditionalFormatting>
  <pageMargins left="0.511811024" right="0.511811024" top="0.78740157499999996" bottom="0.78740157499999996" header="0.31496062000000002" footer="0.31496062000000002"/>
  <pageSetup paperSize="9" scale="3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D216-32D1-4FE0-A99C-73559AD22215}">
  <dimension ref="A1:K119"/>
  <sheetViews>
    <sheetView topLeftCell="A12" zoomScale="59" zoomScaleNormal="59" workbookViewId="0">
      <selection activeCell="D129" sqref="D129"/>
    </sheetView>
  </sheetViews>
  <sheetFormatPr defaultRowHeight="15" x14ac:dyDescent="0.25"/>
  <cols>
    <col min="2" max="2" width="21.28515625" customWidth="1"/>
    <col min="3" max="3" width="83.7109375" customWidth="1"/>
    <col min="4" max="4" width="36.5703125" customWidth="1"/>
    <col min="5" max="5" width="39.28515625" customWidth="1"/>
    <col min="6" max="6" width="15.7109375" style="14" customWidth="1"/>
    <col min="7" max="7" width="23" customWidth="1"/>
    <col min="8" max="8" width="15.42578125" customWidth="1"/>
    <col min="9" max="9" width="24.140625" customWidth="1"/>
    <col min="10" max="10" width="29.42578125" customWidth="1"/>
  </cols>
  <sheetData>
    <row r="1" spans="1:11" ht="21" x14ac:dyDescent="0.35">
      <c r="A1" s="70" t="s">
        <v>15</v>
      </c>
      <c r="B1" s="71"/>
      <c r="C1" s="71"/>
      <c r="D1" s="71"/>
      <c r="E1" s="71"/>
      <c r="F1" s="71"/>
      <c r="G1" s="71"/>
      <c r="H1" s="72"/>
      <c r="I1" s="47"/>
      <c r="J1" s="39"/>
    </row>
    <row r="2" spans="1:11" ht="21" x14ac:dyDescent="0.35">
      <c r="A2" s="63" t="s">
        <v>0</v>
      </c>
      <c r="B2" s="32" t="s">
        <v>1</v>
      </c>
      <c r="C2" s="32" t="s">
        <v>2</v>
      </c>
      <c r="D2" s="32" t="s">
        <v>31</v>
      </c>
      <c r="E2" s="32" t="s">
        <v>32</v>
      </c>
      <c r="F2" s="32" t="s">
        <v>273</v>
      </c>
      <c r="G2" s="32" t="s">
        <v>3</v>
      </c>
      <c r="H2" s="32" t="s">
        <v>4</v>
      </c>
      <c r="I2" s="33" t="s">
        <v>5</v>
      </c>
      <c r="J2" s="46" t="s">
        <v>6</v>
      </c>
    </row>
    <row r="3" spans="1:11" ht="21" x14ac:dyDescent="0.35">
      <c r="A3" s="56"/>
      <c r="B3" s="34">
        <v>45932</v>
      </c>
      <c r="C3" s="35" t="s">
        <v>280</v>
      </c>
      <c r="D3" s="35" t="s">
        <v>34</v>
      </c>
      <c r="E3" s="35" t="s">
        <v>33</v>
      </c>
      <c r="F3" s="35" t="s">
        <v>275</v>
      </c>
      <c r="G3" s="36">
        <v>890.58</v>
      </c>
      <c r="H3" s="37" t="s">
        <v>7</v>
      </c>
      <c r="I3" s="37" t="s">
        <v>21</v>
      </c>
      <c r="J3" s="37" t="s">
        <v>45</v>
      </c>
      <c r="K3" s="14" t="s">
        <v>20</v>
      </c>
    </row>
    <row r="4" spans="1:11" s="14" customFormat="1" ht="21" x14ac:dyDescent="0.35">
      <c r="A4" s="56"/>
      <c r="B4" s="34">
        <v>45933</v>
      </c>
      <c r="C4" s="35" t="s">
        <v>286</v>
      </c>
      <c r="D4" s="35" t="s">
        <v>86</v>
      </c>
      <c r="E4" s="35" t="s">
        <v>36</v>
      </c>
      <c r="F4" s="35" t="s">
        <v>278</v>
      </c>
      <c r="G4" s="36">
        <v>85</v>
      </c>
      <c r="H4" s="37" t="s">
        <v>7</v>
      </c>
      <c r="I4" s="37" t="s">
        <v>23</v>
      </c>
      <c r="J4" s="37" t="s">
        <v>12</v>
      </c>
      <c r="K4" s="14" t="s">
        <v>20</v>
      </c>
    </row>
    <row r="5" spans="1:11" ht="21" x14ac:dyDescent="0.35">
      <c r="A5" s="56"/>
      <c r="B5" s="57">
        <v>45937</v>
      </c>
      <c r="C5" s="58" t="s">
        <v>296</v>
      </c>
      <c r="D5" s="58" t="s">
        <v>17</v>
      </c>
      <c r="E5" s="58" t="s">
        <v>36</v>
      </c>
      <c r="F5" s="58" t="s">
        <v>278</v>
      </c>
      <c r="G5" s="59">
        <v>440</v>
      </c>
      <c r="H5" s="37" t="s">
        <v>7</v>
      </c>
      <c r="I5" s="37" t="s">
        <v>23</v>
      </c>
      <c r="J5" s="49" t="s">
        <v>297</v>
      </c>
      <c r="K5" t="s">
        <v>20</v>
      </c>
    </row>
    <row r="6" spans="1:11" ht="21" x14ac:dyDescent="0.35">
      <c r="A6" s="56"/>
      <c r="B6" s="57">
        <v>45938</v>
      </c>
      <c r="C6" s="35" t="s">
        <v>302</v>
      </c>
      <c r="D6" s="35" t="s">
        <v>34</v>
      </c>
      <c r="E6" s="35" t="s">
        <v>33</v>
      </c>
      <c r="F6" s="35" t="s">
        <v>300</v>
      </c>
      <c r="G6" s="36">
        <v>626.5</v>
      </c>
      <c r="H6" s="37" t="s">
        <v>7</v>
      </c>
      <c r="I6" s="37" t="s">
        <v>21</v>
      </c>
      <c r="J6" s="37" t="s">
        <v>45</v>
      </c>
      <c r="K6" t="s">
        <v>20</v>
      </c>
    </row>
    <row r="7" spans="1:11" ht="21" x14ac:dyDescent="0.35">
      <c r="A7" s="56"/>
      <c r="B7" s="57">
        <v>45938</v>
      </c>
      <c r="C7" s="35" t="s">
        <v>302</v>
      </c>
      <c r="D7" s="35" t="s">
        <v>34</v>
      </c>
      <c r="E7" s="35" t="s">
        <v>33</v>
      </c>
      <c r="F7" s="35" t="s">
        <v>301</v>
      </c>
      <c r="G7" s="36">
        <v>716.03</v>
      </c>
      <c r="H7" s="37" t="s">
        <v>7</v>
      </c>
      <c r="I7" s="37" t="s">
        <v>21</v>
      </c>
      <c r="J7" s="37" t="s">
        <v>24</v>
      </c>
      <c r="K7" t="s">
        <v>20</v>
      </c>
    </row>
    <row r="8" spans="1:11" ht="21" x14ac:dyDescent="0.35">
      <c r="A8" s="56"/>
      <c r="B8" s="51">
        <v>45938</v>
      </c>
      <c r="C8" s="52" t="s">
        <v>303</v>
      </c>
      <c r="D8" s="52" t="s">
        <v>34</v>
      </c>
      <c r="E8" s="52" t="s">
        <v>33</v>
      </c>
      <c r="F8" s="64" t="s">
        <v>277</v>
      </c>
      <c r="G8" s="53">
        <v>803.03</v>
      </c>
      <c r="H8" s="37" t="s">
        <v>7</v>
      </c>
      <c r="I8" s="50" t="s">
        <v>21</v>
      </c>
      <c r="J8" s="60" t="s">
        <v>12</v>
      </c>
      <c r="K8" t="s">
        <v>20</v>
      </c>
    </row>
    <row r="9" spans="1:11" ht="21" x14ac:dyDescent="0.35">
      <c r="A9" s="38"/>
      <c r="B9" s="34">
        <v>45940</v>
      </c>
      <c r="C9" s="35" t="s">
        <v>306</v>
      </c>
      <c r="D9" s="35" t="s">
        <v>17</v>
      </c>
      <c r="E9" s="35" t="s">
        <v>36</v>
      </c>
      <c r="F9" s="35" t="s">
        <v>278</v>
      </c>
      <c r="G9" s="36">
        <v>240</v>
      </c>
      <c r="H9" s="37" t="s">
        <v>7</v>
      </c>
      <c r="I9" s="37" t="s">
        <v>23</v>
      </c>
      <c r="J9" s="37" t="s">
        <v>307</v>
      </c>
      <c r="K9" t="s">
        <v>20</v>
      </c>
    </row>
    <row r="10" spans="1:11" ht="21" x14ac:dyDescent="0.35">
      <c r="A10" s="38"/>
      <c r="B10" s="34">
        <v>45943</v>
      </c>
      <c r="C10" s="35" t="s">
        <v>311</v>
      </c>
      <c r="D10" s="35" t="s">
        <v>17</v>
      </c>
      <c r="E10" s="35" t="s">
        <v>36</v>
      </c>
      <c r="F10" s="35" t="s">
        <v>288</v>
      </c>
      <c r="G10" s="36">
        <v>925</v>
      </c>
      <c r="H10" s="37" t="s">
        <v>7</v>
      </c>
      <c r="I10" s="37" t="s">
        <v>23</v>
      </c>
      <c r="J10" s="37" t="s">
        <v>297</v>
      </c>
      <c r="K10" t="s">
        <v>20</v>
      </c>
    </row>
    <row r="11" spans="1:11" ht="21" x14ac:dyDescent="0.35">
      <c r="A11" s="38"/>
      <c r="B11" s="34">
        <v>45943</v>
      </c>
      <c r="C11" s="35" t="s">
        <v>291</v>
      </c>
      <c r="D11" s="35" t="s">
        <v>39</v>
      </c>
      <c r="E11" s="35" t="s">
        <v>36</v>
      </c>
      <c r="F11" s="35" t="s">
        <v>282</v>
      </c>
      <c r="G11" s="36">
        <v>1208.75</v>
      </c>
      <c r="H11" s="37" t="s">
        <v>7</v>
      </c>
      <c r="I11" s="37" t="s">
        <v>23</v>
      </c>
      <c r="J11" s="37" t="s">
        <v>297</v>
      </c>
      <c r="K11" t="s">
        <v>20</v>
      </c>
    </row>
    <row r="12" spans="1:11" ht="21" x14ac:dyDescent="0.35">
      <c r="A12" s="38"/>
      <c r="B12" s="34">
        <v>45943</v>
      </c>
      <c r="C12" s="35" t="s">
        <v>312</v>
      </c>
      <c r="D12" s="35" t="s">
        <v>17</v>
      </c>
      <c r="E12" s="35" t="s">
        <v>36</v>
      </c>
      <c r="F12" s="35" t="s">
        <v>282</v>
      </c>
      <c r="G12" s="36">
        <v>300</v>
      </c>
      <c r="H12" s="37" t="s">
        <v>7</v>
      </c>
      <c r="I12" s="37" t="s">
        <v>23</v>
      </c>
      <c r="J12" s="37" t="s">
        <v>297</v>
      </c>
      <c r="K12" t="s">
        <v>20</v>
      </c>
    </row>
    <row r="13" spans="1:11" ht="21" x14ac:dyDescent="0.35">
      <c r="A13" s="38"/>
      <c r="B13" s="34">
        <v>45933</v>
      </c>
      <c r="C13" s="35" t="s">
        <v>291</v>
      </c>
      <c r="D13" s="35" t="s">
        <v>39</v>
      </c>
      <c r="E13" s="35" t="s">
        <v>36</v>
      </c>
      <c r="F13" s="35" t="s">
        <v>279</v>
      </c>
      <c r="G13" s="36">
        <v>1262.5</v>
      </c>
      <c r="H13" s="37" t="s">
        <v>7</v>
      </c>
      <c r="I13" s="37" t="s">
        <v>23</v>
      </c>
      <c r="J13" s="37" t="s">
        <v>90</v>
      </c>
      <c r="K13" t="s">
        <v>20</v>
      </c>
    </row>
    <row r="14" spans="1:11" ht="21" x14ac:dyDescent="0.35">
      <c r="A14" s="38"/>
      <c r="B14" s="34">
        <v>45938</v>
      </c>
      <c r="C14" s="35" t="s">
        <v>291</v>
      </c>
      <c r="D14" s="35" t="s">
        <v>39</v>
      </c>
      <c r="E14" s="35" t="s">
        <v>36</v>
      </c>
      <c r="F14" s="35" t="s">
        <v>281</v>
      </c>
      <c r="G14" s="36">
        <v>1190.25</v>
      </c>
      <c r="H14" s="37" t="s">
        <v>7</v>
      </c>
      <c r="I14" s="37" t="s">
        <v>21</v>
      </c>
      <c r="J14" s="37" t="s">
        <v>90</v>
      </c>
      <c r="K14" t="s">
        <v>20</v>
      </c>
    </row>
    <row r="15" spans="1:11" ht="21" x14ac:dyDescent="0.35">
      <c r="A15" s="38"/>
      <c r="B15" s="34">
        <v>45938</v>
      </c>
      <c r="C15" s="35" t="s">
        <v>291</v>
      </c>
      <c r="D15" s="35" t="s">
        <v>39</v>
      </c>
      <c r="E15" s="35" t="s">
        <v>36</v>
      </c>
      <c r="F15" s="35" t="s">
        <v>275</v>
      </c>
      <c r="G15" s="36">
        <v>1677.5</v>
      </c>
      <c r="H15" s="37" t="s">
        <v>7</v>
      </c>
      <c r="I15" s="37" t="s">
        <v>21</v>
      </c>
      <c r="J15" s="37" t="s">
        <v>80</v>
      </c>
      <c r="K15" t="s">
        <v>20</v>
      </c>
    </row>
    <row r="16" spans="1:11" ht="21" x14ac:dyDescent="0.35">
      <c r="A16" s="38"/>
      <c r="B16" s="34">
        <v>45943</v>
      </c>
      <c r="C16" s="35" t="s">
        <v>313</v>
      </c>
      <c r="D16" s="35" t="s">
        <v>34</v>
      </c>
      <c r="E16" s="35" t="s">
        <v>33</v>
      </c>
      <c r="F16" s="35" t="s">
        <v>300</v>
      </c>
      <c r="G16" s="36">
        <v>913</v>
      </c>
      <c r="H16" s="37" t="s">
        <v>7</v>
      </c>
      <c r="I16" s="37" t="s">
        <v>23</v>
      </c>
      <c r="J16" s="37" t="s">
        <v>11</v>
      </c>
      <c r="K16" t="s">
        <v>20</v>
      </c>
    </row>
    <row r="17" spans="1:11" ht="21" x14ac:dyDescent="0.35">
      <c r="A17" s="38"/>
      <c r="B17" s="34">
        <v>45944</v>
      </c>
      <c r="C17" s="35" t="s">
        <v>302</v>
      </c>
      <c r="D17" s="35" t="s">
        <v>34</v>
      </c>
      <c r="E17" s="35" t="s">
        <v>33</v>
      </c>
      <c r="F17" s="35" t="s">
        <v>300</v>
      </c>
      <c r="G17" s="36">
        <v>1509.39</v>
      </c>
      <c r="H17" s="37" t="s">
        <v>7</v>
      </c>
      <c r="I17" s="37" t="s">
        <v>21</v>
      </c>
      <c r="J17" s="37" t="s">
        <v>90</v>
      </c>
      <c r="K17" t="s">
        <v>20</v>
      </c>
    </row>
    <row r="18" spans="1:11" ht="21" x14ac:dyDescent="0.35">
      <c r="A18" s="38"/>
      <c r="B18" s="34">
        <v>45947</v>
      </c>
      <c r="C18" s="35" t="s">
        <v>326</v>
      </c>
      <c r="D18" s="35" t="s">
        <v>39</v>
      </c>
      <c r="E18" s="35" t="s">
        <v>36</v>
      </c>
      <c r="F18" s="35" t="s">
        <v>281</v>
      </c>
      <c r="G18" s="36">
        <v>1203.02</v>
      </c>
      <c r="H18" s="37" t="s">
        <v>7</v>
      </c>
      <c r="I18" s="37" t="s">
        <v>21</v>
      </c>
      <c r="J18" s="37" t="s">
        <v>90</v>
      </c>
      <c r="K18" t="s">
        <v>20</v>
      </c>
    </row>
    <row r="19" spans="1:11" s="14" customFormat="1" ht="21" x14ac:dyDescent="0.35">
      <c r="A19" s="38"/>
      <c r="B19" s="34">
        <v>45947</v>
      </c>
      <c r="C19" s="35" t="s">
        <v>327</v>
      </c>
      <c r="D19" s="35" t="s">
        <v>34</v>
      </c>
      <c r="E19" s="35" t="s">
        <v>36</v>
      </c>
      <c r="F19" s="35" t="s">
        <v>282</v>
      </c>
      <c r="G19" s="36">
        <v>1679.5</v>
      </c>
      <c r="H19" s="37" t="s">
        <v>7</v>
      </c>
      <c r="I19" s="37" t="s">
        <v>21</v>
      </c>
      <c r="J19" s="37" t="s">
        <v>10</v>
      </c>
      <c r="K19" s="14" t="s">
        <v>20</v>
      </c>
    </row>
    <row r="20" spans="1:11" ht="21" x14ac:dyDescent="0.35">
      <c r="A20" s="38"/>
      <c r="B20" s="34">
        <v>45950</v>
      </c>
      <c r="C20" s="35" t="s">
        <v>332</v>
      </c>
      <c r="D20" s="35" t="s">
        <v>34</v>
      </c>
      <c r="E20" s="35" t="s">
        <v>33</v>
      </c>
      <c r="F20" s="35" t="s">
        <v>300</v>
      </c>
      <c r="G20" s="36">
        <v>1638</v>
      </c>
      <c r="H20" s="37" t="s">
        <v>7</v>
      </c>
      <c r="I20" s="37" t="s">
        <v>21</v>
      </c>
      <c r="J20" s="37" t="s">
        <v>90</v>
      </c>
      <c r="K20" t="s">
        <v>20</v>
      </c>
    </row>
    <row r="21" spans="1:11" s="14" customFormat="1" ht="21" x14ac:dyDescent="0.35">
      <c r="A21" s="38"/>
      <c r="B21" s="34">
        <v>45952</v>
      </c>
      <c r="C21" s="35" t="s">
        <v>342</v>
      </c>
      <c r="D21" s="35" t="s">
        <v>34</v>
      </c>
      <c r="E21" s="35" t="s">
        <v>33</v>
      </c>
      <c r="F21" s="35" t="s">
        <v>336</v>
      </c>
      <c r="G21" s="36">
        <v>904</v>
      </c>
      <c r="H21" s="37" t="s">
        <v>7</v>
      </c>
      <c r="I21" s="37" t="s">
        <v>23</v>
      </c>
      <c r="J21" s="37" t="s">
        <v>42</v>
      </c>
      <c r="K21" s="14" t="s">
        <v>20</v>
      </c>
    </row>
    <row r="22" spans="1:11" s="14" customFormat="1" ht="21" x14ac:dyDescent="0.35">
      <c r="A22" s="38"/>
      <c r="B22" s="34">
        <v>45953</v>
      </c>
      <c r="C22" s="35" t="s">
        <v>342</v>
      </c>
      <c r="D22" s="35" t="s">
        <v>17</v>
      </c>
      <c r="E22" s="35" t="s">
        <v>36</v>
      </c>
      <c r="F22" s="35" t="s">
        <v>278</v>
      </c>
      <c r="G22" s="36">
        <v>380</v>
      </c>
      <c r="H22" s="37" t="s">
        <v>7</v>
      </c>
      <c r="I22" s="37" t="s">
        <v>21</v>
      </c>
      <c r="J22" s="37" t="s">
        <v>42</v>
      </c>
      <c r="K22" s="14" t="s">
        <v>20</v>
      </c>
    </row>
    <row r="23" spans="1:11" s="14" customFormat="1" ht="21" x14ac:dyDescent="0.35">
      <c r="A23" s="38"/>
      <c r="B23" s="34">
        <v>45953</v>
      </c>
      <c r="C23" s="35" t="s">
        <v>343</v>
      </c>
      <c r="D23" s="35" t="s">
        <v>39</v>
      </c>
      <c r="E23" s="35" t="s">
        <v>36</v>
      </c>
      <c r="F23" s="35" t="s">
        <v>282</v>
      </c>
      <c r="G23" s="36">
        <v>795</v>
      </c>
      <c r="H23" s="37" t="s">
        <v>7</v>
      </c>
      <c r="I23" s="37" t="s">
        <v>21</v>
      </c>
      <c r="J23" s="37" t="s">
        <v>297</v>
      </c>
      <c r="K23" s="14" t="s">
        <v>20</v>
      </c>
    </row>
    <row r="24" spans="1:11" ht="21" x14ac:dyDescent="0.35">
      <c r="A24" s="38"/>
      <c r="B24" s="34">
        <v>45953</v>
      </c>
      <c r="C24" s="35" t="s">
        <v>343</v>
      </c>
      <c r="D24" s="35" t="s">
        <v>39</v>
      </c>
      <c r="E24" s="35" t="s">
        <v>36</v>
      </c>
      <c r="F24" s="35" t="s">
        <v>279</v>
      </c>
      <c r="G24" s="36">
        <v>1072.5</v>
      </c>
      <c r="H24" s="37" t="s">
        <v>7</v>
      </c>
      <c r="I24" s="37" t="s">
        <v>21</v>
      </c>
      <c r="J24" s="37" t="s">
        <v>90</v>
      </c>
      <c r="K24" t="s">
        <v>20</v>
      </c>
    </row>
    <row r="25" spans="1:11" s="14" customFormat="1" ht="21" x14ac:dyDescent="0.35">
      <c r="A25" s="38"/>
      <c r="B25" s="34">
        <v>45954</v>
      </c>
      <c r="C25" s="35" t="s">
        <v>291</v>
      </c>
      <c r="D25" s="35" t="s">
        <v>39</v>
      </c>
      <c r="E25" s="35" t="s">
        <v>36</v>
      </c>
      <c r="F25" s="35" t="s">
        <v>282</v>
      </c>
      <c r="G25" s="36">
        <v>592.5</v>
      </c>
      <c r="H25" s="37" t="s">
        <v>7</v>
      </c>
      <c r="I25" s="37" t="s">
        <v>21</v>
      </c>
      <c r="J25" s="37" t="s">
        <v>90</v>
      </c>
      <c r="K25" s="14" t="s">
        <v>20</v>
      </c>
    </row>
    <row r="26" spans="1:11" ht="21" x14ac:dyDescent="0.35">
      <c r="A26" s="38"/>
      <c r="B26" s="34">
        <v>45954</v>
      </c>
      <c r="C26" s="35" t="s">
        <v>291</v>
      </c>
      <c r="D26" s="35" t="s">
        <v>39</v>
      </c>
      <c r="E26" s="35" t="s">
        <v>36</v>
      </c>
      <c r="F26" s="35" t="s">
        <v>281</v>
      </c>
      <c r="G26" s="36">
        <v>1007.5</v>
      </c>
      <c r="H26" s="37" t="s">
        <v>7</v>
      </c>
      <c r="I26" s="37" t="s">
        <v>21</v>
      </c>
      <c r="J26" s="37" t="s">
        <v>90</v>
      </c>
      <c r="K26" t="s">
        <v>20</v>
      </c>
    </row>
    <row r="27" spans="1:11" s="14" customFormat="1" ht="21" x14ac:dyDescent="0.35">
      <c r="A27" s="38"/>
      <c r="B27" s="34">
        <v>45954</v>
      </c>
      <c r="C27" s="35" t="s">
        <v>354</v>
      </c>
      <c r="D27" s="35" t="s">
        <v>17</v>
      </c>
      <c r="E27" s="35" t="s">
        <v>36</v>
      </c>
      <c r="F27" s="35" t="s">
        <v>278</v>
      </c>
      <c r="G27" s="36">
        <v>200</v>
      </c>
      <c r="H27" s="37" t="s">
        <v>7</v>
      </c>
      <c r="I27" s="37" t="s">
        <v>23</v>
      </c>
      <c r="J27" s="37" t="s">
        <v>42</v>
      </c>
      <c r="K27" s="14" t="s">
        <v>20</v>
      </c>
    </row>
    <row r="28" spans="1:11" s="14" customFormat="1" ht="21" x14ac:dyDescent="0.35">
      <c r="A28" s="38"/>
      <c r="B28" s="34">
        <v>45960</v>
      </c>
      <c r="C28" s="35" t="s">
        <v>311</v>
      </c>
      <c r="D28" s="35" t="s">
        <v>17</v>
      </c>
      <c r="E28" s="35" t="s">
        <v>36</v>
      </c>
      <c r="F28" s="35" t="s">
        <v>276</v>
      </c>
      <c r="G28" s="36">
        <v>925</v>
      </c>
      <c r="H28" s="37" t="s">
        <v>7</v>
      </c>
      <c r="I28" s="37" t="s">
        <v>21</v>
      </c>
      <c r="J28" s="37" t="s">
        <v>297</v>
      </c>
      <c r="K28" s="14" t="s">
        <v>20</v>
      </c>
    </row>
    <row r="29" spans="1:11" s="14" customFormat="1" ht="21" x14ac:dyDescent="0.35">
      <c r="A29" s="38"/>
      <c r="B29" s="34"/>
      <c r="C29" s="35"/>
      <c r="D29" s="35"/>
      <c r="E29" s="35"/>
      <c r="F29" s="35"/>
      <c r="G29" s="36"/>
      <c r="H29" s="37"/>
      <c r="I29" s="37"/>
      <c r="J29" s="37"/>
    </row>
    <row r="30" spans="1:11" ht="21" x14ac:dyDescent="0.35">
      <c r="A30" s="38"/>
      <c r="B30" s="34"/>
      <c r="C30" s="35"/>
      <c r="D30" s="35"/>
      <c r="E30" s="35"/>
      <c r="F30" s="35"/>
      <c r="G30" s="36"/>
      <c r="H30" s="37"/>
      <c r="I30" s="37"/>
      <c r="J30" s="37"/>
    </row>
    <row r="31" spans="1:11" ht="21" x14ac:dyDescent="0.35">
      <c r="A31" s="38"/>
      <c r="B31" s="34"/>
      <c r="C31" s="45" t="s">
        <v>8</v>
      </c>
      <c r="D31" s="45"/>
      <c r="E31" s="45"/>
      <c r="F31" s="45"/>
      <c r="G31" s="43">
        <f>SUM(G3:G28)</f>
        <v>23184.55</v>
      </c>
      <c r="H31" s="37"/>
      <c r="I31" s="37"/>
      <c r="J31" s="37"/>
    </row>
    <row r="32" spans="1:11" ht="21" x14ac:dyDescent="0.35">
      <c r="A32" s="70" t="s">
        <v>17</v>
      </c>
      <c r="B32" s="71"/>
      <c r="C32" s="71"/>
      <c r="D32" s="71"/>
      <c r="E32" s="71"/>
      <c r="F32" s="71"/>
      <c r="G32" s="71"/>
      <c r="H32" s="72"/>
      <c r="I32" s="47"/>
      <c r="J32" s="39"/>
    </row>
    <row r="33" spans="1:11" ht="21" x14ac:dyDescent="0.35">
      <c r="A33" s="55" t="s">
        <v>0</v>
      </c>
      <c r="B33" s="40" t="s">
        <v>1</v>
      </c>
      <c r="C33" s="40" t="s">
        <v>2</v>
      </c>
      <c r="D33" s="40" t="s">
        <v>31</v>
      </c>
      <c r="E33" s="40" t="s">
        <v>32</v>
      </c>
      <c r="F33" s="32" t="s">
        <v>273</v>
      </c>
      <c r="G33" s="40" t="s">
        <v>3</v>
      </c>
      <c r="H33" s="40" t="s">
        <v>4</v>
      </c>
      <c r="I33" s="41" t="s">
        <v>5</v>
      </c>
      <c r="J33" s="42" t="s">
        <v>6</v>
      </c>
    </row>
    <row r="34" spans="1:11" ht="21" x14ac:dyDescent="0.35">
      <c r="A34" s="62"/>
      <c r="B34" s="51">
        <v>45932</v>
      </c>
      <c r="C34" s="52" t="s">
        <v>274</v>
      </c>
      <c r="D34" s="52" t="s">
        <v>37</v>
      </c>
      <c r="E34" s="52" t="s">
        <v>36</v>
      </c>
      <c r="F34" s="64" t="s">
        <v>275</v>
      </c>
      <c r="G34" s="54">
        <v>739.71</v>
      </c>
      <c r="H34" s="37" t="s">
        <v>7</v>
      </c>
      <c r="I34" s="44" t="s">
        <v>21</v>
      </c>
      <c r="J34" s="49"/>
      <c r="K34" t="s">
        <v>20</v>
      </c>
    </row>
    <row r="35" spans="1:11" ht="21" x14ac:dyDescent="0.35">
      <c r="A35" s="48"/>
      <c r="B35" s="34">
        <v>45932</v>
      </c>
      <c r="C35" s="35" t="s">
        <v>47</v>
      </c>
      <c r="D35" s="35" t="s">
        <v>37</v>
      </c>
      <c r="E35" s="35" t="s">
        <v>36</v>
      </c>
      <c r="F35" s="35" t="s">
        <v>279</v>
      </c>
      <c r="G35" s="36">
        <v>244.75</v>
      </c>
      <c r="H35" s="37" t="s">
        <v>7</v>
      </c>
      <c r="I35" s="37" t="s">
        <v>21</v>
      </c>
      <c r="J35" s="37" t="s">
        <v>67</v>
      </c>
      <c r="K35" t="s">
        <v>20</v>
      </c>
    </row>
    <row r="36" spans="1:11" s="14" customFormat="1" ht="21" x14ac:dyDescent="0.35">
      <c r="A36" s="48"/>
      <c r="B36" s="34">
        <v>45932</v>
      </c>
      <c r="C36" s="35" t="s">
        <v>283</v>
      </c>
      <c r="D36" s="35" t="s">
        <v>37</v>
      </c>
      <c r="E36" s="35" t="s">
        <v>36</v>
      </c>
      <c r="F36" s="35" t="s">
        <v>284</v>
      </c>
      <c r="G36" s="36">
        <v>932.14</v>
      </c>
      <c r="H36" s="37" t="s">
        <v>7</v>
      </c>
      <c r="I36" s="37" t="s">
        <v>21</v>
      </c>
      <c r="J36" s="37" t="s">
        <v>24</v>
      </c>
      <c r="K36" s="14" t="s">
        <v>20</v>
      </c>
    </row>
    <row r="37" spans="1:11" ht="21" x14ac:dyDescent="0.35">
      <c r="A37" s="48"/>
      <c r="B37" s="34">
        <v>45932</v>
      </c>
      <c r="C37" s="35" t="s">
        <v>290</v>
      </c>
      <c r="D37" s="35" t="s">
        <v>37</v>
      </c>
      <c r="E37" s="35" t="s">
        <v>36</v>
      </c>
      <c r="F37" s="35" t="s">
        <v>279</v>
      </c>
      <c r="G37" s="36">
        <v>377.75</v>
      </c>
      <c r="H37" s="37" t="s">
        <v>7</v>
      </c>
      <c r="I37" s="37" t="s">
        <v>21</v>
      </c>
      <c r="J37" s="37" t="s">
        <v>26</v>
      </c>
      <c r="K37" t="s">
        <v>20</v>
      </c>
    </row>
    <row r="38" spans="1:11" ht="21" x14ac:dyDescent="0.35">
      <c r="A38" s="48"/>
      <c r="B38" s="34">
        <v>45933</v>
      </c>
      <c r="C38" s="35" t="s">
        <v>289</v>
      </c>
      <c r="D38" s="35" t="s">
        <v>41</v>
      </c>
      <c r="E38" s="35" t="s">
        <v>36</v>
      </c>
      <c r="F38" s="35" t="s">
        <v>284</v>
      </c>
      <c r="G38" s="36">
        <v>394.4</v>
      </c>
      <c r="H38" s="37" t="s">
        <v>7</v>
      </c>
      <c r="I38" s="37" t="s">
        <v>23</v>
      </c>
      <c r="J38" s="37" t="s">
        <v>9</v>
      </c>
      <c r="K38" t="s">
        <v>20</v>
      </c>
    </row>
    <row r="39" spans="1:11" ht="21" x14ac:dyDescent="0.35">
      <c r="A39" s="48"/>
      <c r="B39" s="34">
        <v>45933</v>
      </c>
      <c r="C39" s="35" t="s">
        <v>287</v>
      </c>
      <c r="D39" s="35" t="s">
        <v>37</v>
      </c>
      <c r="E39" s="35" t="s">
        <v>36</v>
      </c>
      <c r="F39" s="35" t="s">
        <v>284</v>
      </c>
      <c r="G39" s="36">
        <v>199.33</v>
      </c>
      <c r="H39" s="37" t="s">
        <v>7</v>
      </c>
      <c r="I39" s="37" t="s">
        <v>23</v>
      </c>
      <c r="J39" s="37" t="s">
        <v>26</v>
      </c>
      <c r="K39" t="s">
        <v>20</v>
      </c>
    </row>
    <row r="40" spans="1:11" ht="21" x14ac:dyDescent="0.35">
      <c r="A40" s="48"/>
      <c r="B40" s="34">
        <v>45934</v>
      </c>
      <c r="C40" s="35" t="s">
        <v>292</v>
      </c>
      <c r="D40" s="35" t="s">
        <v>37</v>
      </c>
      <c r="E40" s="35" t="s">
        <v>36</v>
      </c>
      <c r="F40" s="35" t="s">
        <v>278</v>
      </c>
      <c r="G40" s="36">
        <v>490</v>
      </c>
      <c r="H40" s="37" t="s">
        <v>7</v>
      </c>
      <c r="I40" s="37" t="s">
        <v>23</v>
      </c>
      <c r="J40" s="37" t="s">
        <v>43</v>
      </c>
      <c r="K40" t="s">
        <v>20</v>
      </c>
    </row>
    <row r="41" spans="1:11" ht="21" x14ac:dyDescent="0.35">
      <c r="A41" s="48"/>
      <c r="B41" s="34">
        <v>45934</v>
      </c>
      <c r="C41" s="35" t="s">
        <v>299</v>
      </c>
      <c r="D41" s="35" t="s">
        <v>41</v>
      </c>
      <c r="E41" s="35" t="s">
        <v>36</v>
      </c>
      <c r="F41" s="35" t="s">
        <v>288</v>
      </c>
      <c r="G41" s="36">
        <v>912.18</v>
      </c>
      <c r="H41" s="37" t="s">
        <v>7</v>
      </c>
      <c r="I41" s="37" t="s">
        <v>21</v>
      </c>
      <c r="J41" s="37" t="s">
        <v>24</v>
      </c>
      <c r="K41" t="s">
        <v>20</v>
      </c>
    </row>
    <row r="42" spans="1:11" ht="21" x14ac:dyDescent="0.35">
      <c r="A42" s="48"/>
      <c r="B42" s="34">
        <v>45937</v>
      </c>
      <c r="C42" s="35" t="s">
        <v>295</v>
      </c>
      <c r="D42" s="35" t="s">
        <v>37</v>
      </c>
      <c r="E42" s="35" t="s">
        <v>36</v>
      </c>
      <c r="F42" s="35" t="s">
        <v>285</v>
      </c>
      <c r="G42" s="36">
        <v>700</v>
      </c>
      <c r="H42" s="37" t="s">
        <v>7</v>
      </c>
      <c r="I42" s="37" t="s">
        <v>23</v>
      </c>
      <c r="J42" s="37" t="s">
        <v>11</v>
      </c>
      <c r="K42" t="s">
        <v>20</v>
      </c>
    </row>
    <row r="43" spans="1:11" ht="21" x14ac:dyDescent="0.35">
      <c r="A43" s="48"/>
      <c r="B43" s="34">
        <v>45937</v>
      </c>
      <c r="C43" s="35" t="s">
        <v>290</v>
      </c>
      <c r="D43" s="35" t="s">
        <v>37</v>
      </c>
      <c r="E43" s="35" t="s">
        <v>36</v>
      </c>
      <c r="F43" s="35" t="s">
        <v>281</v>
      </c>
      <c r="G43" s="36">
        <v>611.25</v>
      </c>
      <c r="H43" s="37" t="s">
        <v>7</v>
      </c>
      <c r="I43" s="37" t="s">
        <v>21</v>
      </c>
      <c r="J43" s="37" t="s">
        <v>201</v>
      </c>
      <c r="K43" t="s">
        <v>20</v>
      </c>
    </row>
    <row r="44" spans="1:11" ht="21" x14ac:dyDescent="0.35">
      <c r="A44" s="48"/>
      <c r="B44" s="34">
        <v>45937</v>
      </c>
      <c r="C44" s="35" t="s">
        <v>304</v>
      </c>
      <c r="D44" s="35" t="s">
        <v>41</v>
      </c>
      <c r="E44" s="35" t="s">
        <v>36</v>
      </c>
      <c r="F44" s="35" t="s">
        <v>285</v>
      </c>
      <c r="G44" s="36">
        <v>1059.1500000000001</v>
      </c>
      <c r="H44" s="37" t="s">
        <v>7</v>
      </c>
      <c r="I44" s="37" t="s">
        <v>21</v>
      </c>
      <c r="J44" s="37" t="s">
        <v>16</v>
      </c>
      <c r="K44" t="s">
        <v>20</v>
      </c>
    </row>
    <row r="45" spans="1:11" ht="21" x14ac:dyDescent="0.35">
      <c r="A45" s="48"/>
      <c r="B45" s="34">
        <v>45937</v>
      </c>
      <c r="C45" s="35" t="s">
        <v>290</v>
      </c>
      <c r="D45" s="35" t="s">
        <v>37</v>
      </c>
      <c r="E45" s="35" t="s">
        <v>36</v>
      </c>
      <c r="F45" s="35" t="s">
        <v>284</v>
      </c>
      <c r="G45" s="36">
        <v>137.66</v>
      </c>
      <c r="H45" s="37" t="s">
        <v>7</v>
      </c>
      <c r="I45" s="37" t="s">
        <v>21</v>
      </c>
      <c r="J45" s="37" t="s">
        <v>76</v>
      </c>
      <c r="K45" t="s">
        <v>20</v>
      </c>
    </row>
    <row r="46" spans="1:11" ht="21" x14ac:dyDescent="0.35">
      <c r="A46" s="48"/>
      <c r="B46" s="34">
        <v>45937</v>
      </c>
      <c r="C46" s="35" t="s">
        <v>293</v>
      </c>
      <c r="D46" s="35" t="s">
        <v>37</v>
      </c>
      <c r="E46" s="35" t="s">
        <v>36</v>
      </c>
      <c r="F46" s="35" t="s">
        <v>278</v>
      </c>
      <c r="G46" s="36">
        <v>285</v>
      </c>
      <c r="H46" s="37" t="s">
        <v>7</v>
      </c>
      <c r="I46" s="37" t="s">
        <v>21</v>
      </c>
      <c r="J46" s="37" t="s">
        <v>43</v>
      </c>
      <c r="K46" t="s">
        <v>20</v>
      </c>
    </row>
    <row r="47" spans="1:11" ht="21" x14ac:dyDescent="0.35">
      <c r="A47" s="48"/>
      <c r="B47" s="34">
        <v>45937</v>
      </c>
      <c r="C47" s="35" t="s">
        <v>290</v>
      </c>
      <c r="D47" s="35" t="s">
        <v>37</v>
      </c>
      <c r="E47" s="35" t="s">
        <v>36</v>
      </c>
      <c r="F47" s="35" t="s">
        <v>276</v>
      </c>
      <c r="G47" s="36">
        <v>199.98</v>
      </c>
      <c r="H47" s="37" t="s">
        <v>7</v>
      </c>
      <c r="I47" s="37" t="s">
        <v>21</v>
      </c>
      <c r="J47" s="37" t="s">
        <v>90</v>
      </c>
      <c r="K47" t="s">
        <v>20</v>
      </c>
    </row>
    <row r="48" spans="1:11" ht="21" x14ac:dyDescent="0.35">
      <c r="A48" s="48"/>
      <c r="B48" s="34">
        <v>45939</v>
      </c>
      <c r="C48" s="35" t="s">
        <v>305</v>
      </c>
      <c r="D48" s="35" t="s">
        <v>40</v>
      </c>
      <c r="E48" s="35" t="s">
        <v>36</v>
      </c>
      <c r="F48" s="35" t="s">
        <v>294</v>
      </c>
      <c r="G48" s="36">
        <v>526.66</v>
      </c>
      <c r="H48" s="37" t="s">
        <v>7</v>
      </c>
      <c r="I48" s="37" t="s">
        <v>46</v>
      </c>
      <c r="J48" s="37" t="s">
        <v>9</v>
      </c>
      <c r="K48" t="s">
        <v>20</v>
      </c>
    </row>
    <row r="49" spans="1:11" ht="21" x14ac:dyDescent="0.35">
      <c r="A49" s="48"/>
      <c r="B49" s="34">
        <v>45940</v>
      </c>
      <c r="C49" s="35" t="s">
        <v>290</v>
      </c>
      <c r="D49" s="35" t="s">
        <v>37</v>
      </c>
      <c r="E49" s="35" t="s">
        <v>36</v>
      </c>
      <c r="F49" s="35" t="s">
        <v>281</v>
      </c>
      <c r="G49" s="36">
        <v>571.5</v>
      </c>
      <c r="H49" s="37" t="s">
        <v>7</v>
      </c>
      <c r="I49" s="35" t="s">
        <v>23</v>
      </c>
      <c r="J49" s="37" t="s">
        <v>11</v>
      </c>
      <c r="K49" t="s">
        <v>20</v>
      </c>
    </row>
    <row r="50" spans="1:11" ht="21" x14ac:dyDescent="0.35">
      <c r="A50" s="48"/>
      <c r="B50" s="34">
        <v>45937</v>
      </c>
      <c r="C50" s="35" t="s">
        <v>298</v>
      </c>
      <c r="D50" s="35" t="s">
        <v>37</v>
      </c>
      <c r="E50" s="35" t="s">
        <v>36</v>
      </c>
      <c r="F50" s="35" t="s">
        <v>284</v>
      </c>
      <c r="G50" s="36">
        <v>332.87</v>
      </c>
      <c r="H50" s="37" t="s">
        <v>7</v>
      </c>
      <c r="I50" s="35" t="s">
        <v>21</v>
      </c>
      <c r="J50" s="37" t="s">
        <v>26</v>
      </c>
      <c r="K50" t="s">
        <v>20</v>
      </c>
    </row>
    <row r="51" spans="1:11" ht="21" x14ac:dyDescent="0.35">
      <c r="A51" s="48"/>
      <c r="B51" s="34">
        <v>45940</v>
      </c>
      <c r="C51" s="35" t="s">
        <v>308</v>
      </c>
      <c r="D51" s="35" t="s">
        <v>41</v>
      </c>
      <c r="E51" s="35" t="s">
        <v>36</v>
      </c>
      <c r="F51" s="35" t="s">
        <v>278</v>
      </c>
      <c r="G51" s="36">
        <v>600</v>
      </c>
      <c r="H51" s="37" t="s">
        <v>7</v>
      </c>
      <c r="I51" s="35" t="s">
        <v>21</v>
      </c>
      <c r="J51" s="37" t="s">
        <v>219</v>
      </c>
      <c r="K51" t="s">
        <v>20</v>
      </c>
    </row>
    <row r="52" spans="1:11" ht="21" x14ac:dyDescent="0.35">
      <c r="A52" s="48"/>
      <c r="B52" s="34">
        <v>45943</v>
      </c>
      <c r="C52" s="35" t="s">
        <v>309</v>
      </c>
      <c r="D52" s="35" t="s">
        <v>61</v>
      </c>
      <c r="E52" s="35" t="s">
        <v>36</v>
      </c>
      <c r="F52" s="35" t="s">
        <v>294</v>
      </c>
      <c r="G52" s="36">
        <v>500</v>
      </c>
      <c r="H52" s="37" t="s">
        <v>7</v>
      </c>
      <c r="I52" s="35" t="s">
        <v>23</v>
      </c>
      <c r="J52" s="37" t="s">
        <v>11</v>
      </c>
      <c r="K52" t="s">
        <v>20</v>
      </c>
    </row>
    <row r="53" spans="1:11" ht="21" x14ac:dyDescent="0.35">
      <c r="A53" s="48"/>
      <c r="B53" s="34">
        <v>45943</v>
      </c>
      <c r="C53" s="35" t="s">
        <v>310</v>
      </c>
      <c r="D53" s="35" t="s">
        <v>41</v>
      </c>
      <c r="E53" s="35" t="s">
        <v>36</v>
      </c>
      <c r="F53" s="35" t="s">
        <v>282</v>
      </c>
      <c r="G53" s="36">
        <v>1962.5</v>
      </c>
      <c r="H53" s="37" t="s">
        <v>7</v>
      </c>
      <c r="I53" s="35" t="s">
        <v>23</v>
      </c>
      <c r="J53" s="37" t="s">
        <v>28</v>
      </c>
      <c r="K53" t="s">
        <v>20</v>
      </c>
    </row>
    <row r="54" spans="1:11" ht="21" x14ac:dyDescent="0.35">
      <c r="A54" s="48"/>
      <c r="B54" s="34">
        <v>45943</v>
      </c>
      <c r="C54" s="35" t="s">
        <v>310</v>
      </c>
      <c r="D54" s="35" t="s">
        <v>61</v>
      </c>
      <c r="E54" s="35" t="s">
        <v>36</v>
      </c>
      <c r="F54" s="35" t="s">
        <v>284</v>
      </c>
      <c r="G54" s="36">
        <v>838</v>
      </c>
      <c r="H54" s="37" t="s">
        <v>7</v>
      </c>
      <c r="I54" s="35" t="s">
        <v>23</v>
      </c>
      <c r="J54" s="37" t="s">
        <v>9</v>
      </c>
      <c r="K54" t="s">
        <v>20</v>
      </c>
    </row>
    <row r="55" spans="1:11" ht="21" x14ac:dyDescent="0.35">
      <c r="A55" s="48"/>
      <c r="B55" s="34">
        <v>45943</v>
      </c>
      <c r="C55" s="35" t="s">
        <v>47</v>
      </c>
      <c r="D55" s="35" t="s">
        <v>37</v>
      </c>
      <c r="E55" s="35" t="s">
        <v>36</v>
      </c>
      <c r="F55" s="35" t="s">
        <v>278</v>
      </c>
      <c r="G55" s="36">
        <v>326</v>
      </c>
      <c r="H55" s="37" t="s">
        <v>7</v>
      </c>
      <c r="I55" s="35" t="s">
        <v>23</v>
      </c>
      <c r="J55" s="37" t="s">
        <v>297</v>
      </c>
      <c r="K55" t="s">
        <v>20</v>
      </c>
    </row>
    <row r="56" spans="1:11" ht="21" x14ac:dyDescent="0.35">
      <c r="A56" s="48"/>
      <c r="B56" s="34">
        <v>45943</v>
      </c>
      <c r="C56" s="35" t="s">
        <v>47</v>
      </c>
      <c r="D56" s="35" t="s">
        <v>37</v>
      </c>
      <c r="E56" s="35" t="s">
        <v>36</v>
      </c>
      <c r="F56" s="35" t="s">
        <v>282</v>
      </c>
      <c r="G56" s="36">
        <v>570.75</v>
      </c>
      <c r="H56" s="37" t="s">
        <v>7</v>
      </c>
      <c r="I56" s="35" t="s">
        <v>23</v>
      </c>
      <c r="J56" s="37" t="s">
        <v>11</v>
      </c>
      <c r="K56" t="s">
        <v>20</v>
      </c>
    </row>
    <row r="57" spans="1:11" ht="21" x14ac:dyDescent="0.35">
      <c r="A57" s="48"/>
      <c r="B57" s="34">
        <v>45943</v>
      </c>
      <c r="C57" s="35" t="s">
        <v>314</v>
      </c>
      <c r="D57" s="35" t="s">
        <v>40</v>
      </c>
      <c r="E57" s="35" t="s">
        <v>36</v>
      </c>
      <c r="F57" s="35" t="s">
        <v>288</v>
      </c>
      <c r="G57" s="36">
        <v>650</v>
      </c>
      <c r="H57" s="37" t="s">
        <v>7</v>
      </c>
      <c r="I57" s="35" t="s">
        <v>23</v>
      </c>
      <c r="J57" s="37" t="s">
        <v>22</v>
      </c>
      <c r="K57" t="s">
        <v>20</v>
      </c>
    </row>
    <row r="58" spans="1:11" ht="21" x14ac:dyDescent="0.35">
      <c r="A58" s="48"/>
      <c r="B58" s="34">
        <v>45943</v>
      </c>
      <c r="C58" s="35" t="s">
        <v>315</v>
      </c>
      <c r="D58" s="35" t="s">
        <v>37</v>
      </c>
      <c r="E58" s="35" t="s">
        <v>36</v>
      </c>
      <c r="F58" s="35" t="s">
        <v>278</v>
      </c>
      <c r="G58" s="36">
        <v>1000</v>
      </c>
      <c r="H58" s="37" t="s">
        <v>7</v>
      </c>
      <c r="I58" s="35" t="s">
        <v>21</v>
      </c>
      <c r="J58" s="37" t="s">
        <v>297</v>
      </c>
      <c r="K58" t="s">
        <v>20</v>
      </c>
    </row>
    <row r="59" spans="1:11" ht="21" x14ac:dyDescent="0.35">
      <c r="A59" s="48"/>
      <c r="B59" s="34">
        <v>45944</v>
      </c>
      <c r="C59" s="35" t="s">
        <v>368</v>
      </c>
      <c r="D59" s="35" t="s">
        <v>37</v>
      </c>
      <c r="E59" s="35" t="s">
        <v>36</v>
      </c>
      <c r="F59" s="35" t="s">
        <v>281</v>
      </c>
      <c r="G59" s="36">
        <v>597.5</v>
      </c>
      <c r="H59" s="37" t="s">
        <v>7</v>
      </c>
      <c r="I59" s="35" t="s">
        <v>21</v>
      </c>
      <c r="J59" s="37" t="s">
        <v>24</v>
      </c>
      <c r="K59" t="s">
        <v>20</v>
      </c>
    </row>
    <row r="60" spans="1:11" ht="21" x14ac:dyDescent="0.35">
      <c r="A60" s="48"/>
      <c r="B60" s="34">
        <v>45945</v>
      </c>
      <c r="C60" s="35" t="s">
        <v>63</v>
      </c>
      <c r="D60" s="35" t="s">
        <v>37</v>
      </c>
      <c r="E60" s="35" t="s">
        <v>36</v>
      </c>
      <c r="F60" s="35" t="s">
        <v>281</v>
      </c>
      <c r="G60" s="36">
        <v>501.62</v>
      </c>
      <c r="H60" s="37" t="s">
        <v>7</v>
      </c>
      <c r="I60" s="35" t="s">
        <v>21</v>
      </c>
      <c r="J60" s="37" t="s">
        <v>26</v>
      </c>
      <c r="K60" t="s">
        <v>20</v>
      </c>
    </row>
    <row r="61" spans="1:11" ht="21" x14ac:dyDescent="0.35">
      <c r="A61" s="48"/>
      <c r="B61" s="34">
        <v>45944</v>
      </c>
      <c r="C61" s="35" t="s">
        <v>316</v>
      </c>
      <c r="D61" s="35" t="s">
        <v>61</v>
      </c>
      <c r="E61" s="35" t="s">
        <v>36</v>
      </c>
      <c r="F61" s="35" t="s">
        <v>284</v>
      </c>
      <c r="G61" s="36">
        <v>899.34</v>
      </c>
      <c r="H61" s="37" t="s">
        <v>7</v>
      </c>
      <c r="I61" s="35" t="s">
        <v>131</v>
      </c>
      <c r="J61" s="37" t="s">
        <v>26</v>
      </c>
      <c r="K61" t="s">
        <v>20</v>
      </c>
    </row>
    <row r="62" spans="1:11" ht="21" x14ac:dyDescent="0.35">
      <c r="A62" s="48"/>
      <c r="B62" s="34">
        <v>45945</v>
      </c>
      <c r="C62" s="35" t="s">
        <v>320</v>
      </c>
      <c r="D62" s="35" t="s">
        <v>37</v>
      </c>
      <c r="E62" s="35" t="s">
        <v>36</v>
      </c>
      <c r="F62" s="35" t="s">
        <v>294</v>
      </c>
      <c r="G62" s="36">
        <v>820</v>
      </c>
      <c r="H62" s="37" t="s">
        <v>7</v>
      </c>
      <c r="I62" s="35" t="s">
        <v>23</v>
      </c>
      <c r="J62" s="37" t="s">
        <v>11</v>
      </c>
      <c r="K62" t="s">
        <v>20</v>
      </c>
    </row>
    <row r="63" spans="1:11" ht="21" x14ac:dyDescent="0.35">
      <c r="A63" s="48"/>
      <c r="B63" s="34">
        <v>45944</v>
      </c>
      <c r="C63" s="35" t="s">
        <v>317</v>
      </c>
      <c r="D63" s="35" t="s">
        <v>41</v>
      </c>
      <c r="E63" s="35" t="s">
        <v>36</v>
      </c>
      <c r="F63" s="35" t="s">
        <v>281</v>
      </c>
      <c r="G63" s="36">
        <v>2050</v>
      </c>
      <c r="H63" s="37" t="s">
        <v>7</v>
      </c>
      <c r="I63" s="35" t="s">
        <v>21</v>
      </c>
      <c r="J63" s="37" t="s">
        <v>45</v>
      </c>
      <c r="K63" t="s">
        <v>20</v>
      </c>
    </row>
    <row r="64" spans="1:11" ht="21" x14ac:dyDescent="0.35">
      <c r="A64" s="48"/>
      <c r="B64" s="34">
        <v>45945</v>
      </c>
      <c r="C64" s="35" t="s">
        <v>318</v>
      </c>
      <c r="D64" s="35" t="s">
        <v>41</v>
      </c>
      <c r="E64" s="35" t="s">
        <v>36</v>
      </c>
      <c r="F64" s="35" t="s">
        <v>278</v>
      </c>
      <c r="G64" s="36">
        <v>550</v>
      </c>
      <c r="H64" s="37" t="s">
        <v>7</v>
      </c>
      <c r="I64" s="35" t="s">
        <v>21</v>
      </c>
      <c r="J64" s="37" t="s">
        <v>51</v>
      </c>
      <c r="K64" t="s">
        <v>20</v>
      </c>
    </row>
    <row r="65" spans="1:11" s="14" customFormat="1" ht="21" x14ac:dyDescent="0.35">
      <c r="A65" s="48"/>
      <c r="B65" s="34">
        <v>45945</v>
      </c>
      <c r="C65" s="35" t="s">
        <v>47</v>
      </c>
      <c r="D65" s="35" t="s">
        <v>37</v>
      </c>
      <c r="E65" s="35" t="s">
        <v>36</v>
      </c>
      <c r="F65" s="35" t="s">
        <v>294</v>
      </c>
      <c r="G65" s="36">
        <v>323.98</v>
      </c>
      <c r="H65" s="37" t="s">
        <v>7</v>
      </c>
      <c r="I65" s="35" t="s">
        <v>23</v>
      </c>
      <c r="J65" s="37" t="s">
        <v>319</v>
      </c>
      <c r="K65" s="14" t="s">
        <v>20</v>
      </c>
    </row>
    <row r="66" spans="1:11" ht="21" x14ac:dyDescent="0.35">
      <c r="A66" s="48"/>
      <c r="B66" s="34">
        <v>45947</v>
      </c>
      <c r="C66" s="35" t="s">
        <v>325</v>
      </c>
      <c r="D66" s="35" t="s">
        <v>37</v>
      </c>
      <c r="E66" s="35" t="s">
        <v>36</v>
      </c>
      <c r="F66" s="35" t="s">
        <v>281</v>
      </c>
      <c r="G66" s="36">
        <v>957.25</v>
      </c>
      <c r="H66" s="37" t="s">
        <v>7</v>
      </c>
      <c r="I66" s="35" t="s">
        <v>21</v>
      </c>
      <c r="J66" s="37" t="s">
        <v>24</v>
      </c>
      <c r="K66" t="s">
        <v>20</v>
      </c>
    </row>
    <row r="67" spans="1:11" ht="21" x14ac:dyDescent="0.35">
      <c r="A67" s="48"/>
      <c r="B67" s="34">
        <v>45947</v>
      </c>
      <c r="C67" s="35" t="s">
        <v>324</v>
      </c>
      <c r="D67" s="35" t="s">
        <v>61</v>
      </c>
      <c r="E67" s="35" t="s">
        <v>36</v>
      </c>
      <c r="F67" s="35" t="s">
        <v>284</v>
      </c>
      <c r="G67" s="36">
        <v>939</v>
      </c>
      <c r="H67" s="37" t="s">
        <v>7</v>
      </c>
      <c r="I67" s="35" t="s">
        <v>21</v>
      </c>
      <c r="J67" s="37" t="s">
        <v>12</v>
      </c>
      <c r="K67" t="s">
        <v>20</v>
      </c>
    </row>
    <row r="68" spans="1:11" ht="21" x14ac:dyDescent="0.35">
      <c r="A68" s="48"/>
      <c r="B68" s="34">
        <v>45945</v>
      </c>
      <c r="C68" s="35" t="s">
        <v>321</v>
      </c>
      <c r="D68" s="35" t="s">
        <v>61</v>
      </c>
      <c r="E68" s="35" t="s">
        <v>36</v>
      </c>
      <c r="F68" s="35" t="s">
        <v>278</v>
      </c>
      <c r="G68" s="36">
        <v>200</v>
      </c>
      <c r="H68" s="37" t="s">
        <v>7</v>
      </c>
      <c r="I68" s="35" t="s">
        <v>23</v>
      </c>
      <c r="J68" s="37" t="s">
        <v>24</v>
      </c>
      <c r="K68" t="s">
        <v>20</v>
      </c>
    </row>
    <row r="69" spans="1:11" ht="21" x14ac:dyDescent="0.35">
      <c r="A69" s="48"/>
      <c r="B69" s="34">
        <v>45947</v>
      </c>
      <c r="C69" s="35" t="s">
        <v>322</v>
      </c>
      <c r="D69" s="35" t="s">
        <v>37</v>
      </c>
      <c r="E69" s="35" t="s">
        <v>36</v>
      </c>
      <c r="F69" s="35" t="s">
        <v>279</v>
      </c>
      <c r="G69" s="36">
        <v>496.75</v>
      </c>
      <c r="H69" s="37" t="s">
        <v>7</v>
      </c>
      <c r="I69" s="35" t="s">
        <v>21</v>
      </c>
      <c r="J69" s="37" t="s">
        <v>90</v>
      </c>
      <c r="K69" t="s">
        <v>20</v>
      </c>
    </row>
    <row r="70" spans="1:11" ht="21" x14ac:dyDescent="0.35">
      <c r="A70" s="48"/>
      <c r="B70" s="34">
        <v>45947</v>
      </c>
      <c r="C70" s="35" t="s">
        <v>323</v>
      </c>
      <c r="D70" s="35" t="s">
        <v>37</v>
      </c>
      <c r="E70" s="35" t="s">
        <v>36</v>
      </c>
      <c r="F70" s="35" t="s">
        <v>288</v>
      </c>
      <c r="G70" s="36">
        <v>525.66999999999996</v>
      </c>
      <c r="H70" s="37" t="s">
        <v>7</v>
      </c>
      <c r="I70" s="35" t="s">
        <v>21</v>
      </c>
      <c r="J70" s="37" t="s">
        <v>297</v>
      </c>
      <c r="K70" t="s">
        <v>20</v>
      </c>
    </row>
    <row r="71" spans="1:11" ht="21" x14ac:dyDescent="0.35">
      <c r="A71" s="48"/>
      <c r="B71" s="34">
        <v>45947</v>
      </c>
      <c r="C71" s="35" t="s">
        <v>274</v>
      </c>
      <c r="D71" s="35" t="s">
        <v>37</v>
      </c>
      <c r="E71" s="35" t="s">
        <v>36</v>
      </c>
      <c r="F71" s="35" t="s">
        <v>288</v>
      </c>
      <c r="G71" s="36">
        <v>250</v>
      </c>
      <c r="H71" s="37" t="s">
        <v>7</v>
      </c>
      <c r="I71" s="35" t="s">
        <v>21</v>
      </c>
      <c r="J71" s="37" t="s">
        <v>9</v>
      </c>
      <c r="K71" t="s">
        <v>20</v>
      </c>
    </row>
    <row r="72" spans="1:11" ht="21" x14ac:dyDescent="0.35">
      <c r="A72" s="48"/>
      <c r="B72" s="34">
        <v>45950</v>
      </c>
      <c r="C72" s="35" t="s">
        <v>328</v>
      </c>
      <c r="D72" s="35" t="s">
        <v>61</v>
      </c>
      <c r="E72" s="35" t="s">
        <v>36</v>
      </c>
      <c r="F72" s="35" t="s">
        <v>288</v>
      </c>
      <c r="G72" s="36">
        <v>766</v>
      </c>
      <c r="H72" s="37" t="s">
        <v>7</v>
      </c>
      <c r="I72" s="35" t="s">
        <v>21</v>
      </c>
      <c r="J72" s="37" t="s">
        <v>13</v>
      </c>
      <c r="K72" t="s">
        <v>20</v>
      </c>
    </row>
    <row r="73" spans="1:11" ht="21" x14ac:dyDescent="0.35">
      <c r="A73" s="48"/>
      <c r="B73" s="34">
        <v>45950</v>
      </c>
      <c r="C73" s="35" t="s">
        <v>72</v>
      </c>
      <c r="D73" s="35" t="s">
        <v>37</v>
      </c>
      <c r="E73" s="35" t="s">
        <v>36</v>
      </c>
      <c r="F73" s="35" t="s">
        <v>278</v>
      </c>
      <c r="G73" s="36">
        <v>271</v>
      </c>
      <c r="H73" s="37" t="s">
        <v>7</v>
      </c>
      <c r="I73" s="37" t="s">
        <v>23</v>
      </c>
      <c r="J73" s="37" t="s">
        <v>76</v>
      </c>
      <c r="K73" t="s">
        <v>20</v>
      </c>
    </row>
    <row r="74" spans="1:11" ht="21" x14ac:dyDescent="0.35">
      <c r="A74" s="48"/>
      <c r="B74" s="34">
        <v>45950</v>
      </c>
      <c r="C74" s="35" t="s">
        <v>329</v>
      </c>
      <c r="D74" s="35" t="s">
        <v>37</v>
      </c>
      <c r="E74" s="35" t="s">
        <v>36</v>
      </c>
      <c r="F74" s="35" t="s">
        <v>275</v>
      </c>
      <c r="G74" s="36">
        <v>400.25</v>
      </c>
      <c r="H74" s="37" t="s">
        <v>7</v>
      </c>
      <c r="I74" s="35" t="s">
        <v>21</v>
      </c>
      <c r="J74" s="37" t="s">
        <v>13</v>
      </c>
      <c r="K74" t="s">
        <v>20</v>
      </c>
    </row>
    <row r="75" spans="1:11" ht="21" x14ac:dyDescent="0.35">
      <c r="A75" s="48"/>
      <c r="B75" s="34">
        <v>45951</v>
      </c>
      <c r="C75" s="35" t="s">
        <v>239</v>
      </c>
      <c r="D75" s="35" t="s">
        <v>37</v>
      </c>
      <c r="E75" s="35" t="s">
        <v>36</v>
      </c>
      <c r="F75" s="35" t="s">
        <v>276</v>
      </c>
      <c r="G75" s="36">
        <v>135</v>
      </c>
      <c r="H75" s="37" t="s">
        <v>7</v>
      </c>
      <c r="I75" s="35" t="s">
        <v>23</v>
      </c>
      <c r="J75" s="37" t="s">
        <v>90</v>
      </c>
      <c r="K75" t="s">
        <v>20</v>
      </c>
    </row>
    <row r="76" spans="1:11" ht="21" x14ac:dyDescent="0.35">
      <c r="A76" s="48"/>
      <c r="B76" s="34">
        <v>45950</v>
      </c>
      <c r="C76" s="35" t="s">
        <v>330</v>
      </c>
      <c r="D76" s="35" t="s">
        <v>37</v>
      </c>
      <c r="E76" s="35" t="s">
        <v>36</v>
      </c>
      <c r="F76" s="35" t="s">
        <v>279</v>
      </c>
      <c r="G76" s="36">
        <v>217.25</v>
      </c>
      <c r="H76" s="37" t="s">
        <v>7</v>
      </c>
      <c r="I76" s="35" t="s">
        <v>21</v>
      </c>
      <c r="J76" s="37" t="s">
        <v>26</v>
      </c>
      <c r="K76" t="s">
        <v>20</v>
      </c>
    </row>
    <row r="77" spans="1:11" ht="21" x14ac:dyDescent="0.35">
      <c r="A77" s="48"/>
      <c r="B77" s="34">
        <v>45952</v>
      </c>
      <c r="C77" s="35" t="s">
        <v>337</v>
      </c>
      <c r="D77" s="35" t="s">
        <v>37</v>
      </c>
      <c r="E77" s="35" t="s">
        <v>36</v>
      </c>
      <c r="F77" s="35" t="s">
        <v>281</v>
      </c>
      <c r="G77" s="36">
        <v>102</v>
      </c>
      <c r="H77" s="37" t="s">
        <v>7</v>
      </c>
      <c r="I77" s="35" t="s">
        <v>23</v>
      </c>
      <c r="J77" s="37" t="s">
        <v>254</v>
      </c>
      <c r="K77" t="s">
        <v>20</v>
      </c>
    </row>
    <row r="78" spans="1:11" ht="21" x14ac:dyDescent="0.35">
      <c r="A78" s="48"/>
      <c r="B78" s="34">
        <v>45952</v>
      </c>
      <c r="C78" s="35" t="s">
        <v>338</v>
      </c>
      <c r="D78" s="35" t="s">
        <v>37</v>
      </c>
      <c r="E78" s="35" t="s">
        <v>36</v>
      </c>
      <c r="F78" s="35" t="s">
        <v>281</v>
      </c>
      <c r="G78" s="36">
        <v>182</v>
      </c>
      <c r="H78" s="37" t="s">
        <v>7</v>
      </c>
      <c r="I78" s="35" t="s">
        <v>23</v>
      </c>
      <c r="J78" s="37" t="s">
        <v>252</v>
      </c>
      <c r="K78" t="s">
        <v>20</v>
      </c>
    </row>
    <row r="79" spans="1:11" ht="21" x14ac:dyDescent="0.35">
      <c r="A79" s="48"/>
      <c r="B79" s="34">
        <v>45951</v>
      </c>
      <c r="C79" s="35" t="s">
        <v>334</v>
      </c>
      <c r="D79" s="35" t="s">
        <v>37</v>
      </c>
      <c r="E79" s="35" t="s">
        <v>36</v>
      </c>
      <c r="F79" s="35" t="s">
        <v>279</v>
      </c>
      <c r="G79" s="36">
        <v>645.5</v>
      </c>
      <c r="H79" s="37" t="s">
        <v>7</v>
      </c>
      <c r="I79" s="35" t="s">
        <v>23</v>
      </c>
      <c r="J79" s="37" t="s">
        <v>84</v>
      </c>
      <c r="K79" t="s">
        <v>20</v>
      </c>
    </row>
    <row r="80" spans="1:11" ht="21" x14ac:dyDescent="0.35">
      <c r="A80" s="48"/>
      <c r="B80" s="34">
        <v>45950</v>
      </c>
      <c r="C80" s="35" t="s">
        <v>331</v>
      </c>
      <c r="D80" s="35" t="s">
        <v>37</v>
      </c>
      <c r="E80" s="35" t="s">
        <v>36</v>
      </c>
      <c r="F80" s="35" t="s">
        <v>285</v>
      </c>
      <c r="G80" s="36">
        <v>114</v>
      </c>
      <c r="H80" s="37" t="s">
        <v>7</v>
      </c>
      <c r="I80" s="35" t="s">
        <v>21</v>
      </c>
      <c r="J80" s="37" t="s">
        <v>249</v>
      </c>
      <c r="K80" t="s">
        <v>20</v>
      </c>
    </row>
    <row r="81" spans="1:11" ht="21" x14ac:dyDescent="0.35">
      <c r="A81" s="48"/>
      <c r="B81" s="34">
        <v>45951</v>
      </c>
      <c r="C81" s="35" t="s">
        <v>25</v>
      </c>
      <c r="D81" s="35" t="s">
        <v>37</v>
      </c>
      <c r="E81" s="35" t="s">
        <v>36</v>
      </c>
      <c r="F81" s="35" t="s">
        <v>276</v>
      </c>
      <c r="G81" s="36">
        <v>347.5</v>
      </c>
      <c r="H81" s="37" t="s">
        <v>7</v>
      </c>
      <c r="I81" s="35" t="s">
        <v>23</v>
      </c>
      <c r="J81" s="37" t="s">
        <v>22</v>
      </c>
      <c r="K81" t="s">
        <v>20</v>
      </c>
    </row>
    <row r="82" spans="1:11" ht="21" x14ac:dyDescent="0.35">
      <c r="A82" s="48"/>
      <c r="B82" s="34">
        <v>45952</v>
      </c>
      <c r="C82" s="35" t="s">
        <v>339</v>
      </c>
      <c r="D82" s="35" t="s">
        <v>37</v>
      </c>
      <c r="E82" s="35" t="s">
        <v>36</v>
      </c>
      <c r="F82" s="35" t="s">
        <v>275</v>
      </c>
      <c r="G82" s="36">
        <v>480</v>
      </c>
      <c r="H82" s="37" t="s">
        <v>7</v>
      </c>
      <c r="I82" s="35" t="s">
        <v>23</v>
      </c>
      <c r="J82" s="37" t="s">
        <v>9</v>
      </c>
      <c r="K82" t="s">
        <v>20</v>
      </c>
    </row>
    <row r="83" spans="1:11" s="14" customFormat="1" ht="21" x14ac:dyDescent="0.35">
      <c r="A83" s="48"/>
      <c r="B83" s="34">
        <v>45952</v>
      </c>
      <c r="C83" s="35" t="s">
        <v>340</v>
      </c>
      <c r="D83" s="35" t="s">
        <v>41</v>
      </c>
      <c r="E83" s="35" t="s">
        <v>36</v>
      </c>
      <c r="F83" s="35" t="s">
        <v>278</v>
      </c>
      <c r="G83" s="36">
        <v>1396.99</v>
      </c>
      <c r="H83" s="37" t="s">
        <v>7</v>
      </c>
      <c r="I83" s="35" t="s">
        <v>23</v>
      </c>
      <c r="J83" s="37" t="s">
        <v>12</v>
      </c>
      <c r="K83" s="14" t="s">
        <v>20</v>
      </c>
    </row>
    <row r="84" spans="1:11" s="14" customFormat="1" ht="21" x14ac:dyDescent="0.35">
      <c r="A84" s="48"/>
      <c r="B84" s="34">
        <v>45952</v>
      </c>
      <c r="C84" s="35" t="s">
        <v>341</v>
      </c>
      <c r="D84" s="35" t="s">
        <v>40</v>
      </c>
      <c r="E84" s="35" t="s">
        <v>36</v>
      </c>
      <c r="F84" s="35" t="s">
        <v>285</v>
      </c>
      <c r="G84" s="36">
        <v>370</v>
      </c>
      <c r="H84" s="37" t="s">
        <v>7</v>
      </c>
      <c r="I84" s="35" t="s">
        <v>23</v>
      </c>
      <c r="J84" s="37" t="s">
        <v>16</v>
      </c>
      <c r="K84" s="14" t="s">
        <v>20</v>
      </c>
    </row>
    <row r="85" spans="1:11" ht="21" x14ac:dyDescent="0.35">
      <c r="A85" s="48"/>
      <c r="B85" s="34">
        <v>45950</v>
      </c>
      <c r="C85" s="35" t="s">
        <v>333</v>
      </c>
      <c r="D85" s="35" t="s">
        <v>88</v>
      </c>
      <c r="E85" s="35" t="s">
        <v>36</v>
      </c>
      <c r="F85" s="35" t="s">
        <v>284</v>
      </c>
      <c r="G85" s="36">
        <v>2900.58</v>
      </c>
      <c r="H85" s="37" t="s">
        <v>7</v>
      </c>
      <c r="I85" s="35" t="s">
        <v>23</v>
      </c>
      <c r="J85" s="37" t="s">
        <v>42</v>
      </c>
      <c r="K85" t="s">
        <v>20</v>
      </c>
    </row>
    <row r="86" spans="1:11" s="14" customFormat="1" ht="21" x14ac:dyDescent="0.35">
      <c r="A86" s="48"/>
      <c r="B86" s="34">
        <v>45952</v>
      </c>
      <c r="C86" s="35" t="s">
        <v>335</v>
      </c>
      <c r="D86" s="35" t="s">
        <v>41</v>
      </c>
      <c r="E86" s="35" t="s">
        <v>36</v>
      </c>
      <c r="F86" s="35" t="s">
        <v>288</v>
      </c>
      <c r="G86" s="36">
        <v>214.66</v>
      </c>
      <c r="H86" s="37" t="s">
        <v>7</v>
      </c>
      <c r="I86" s="35" t="s">
        <v>23</v>
      </c>
      <c r="J86" s="37" t="s">
        <v>43</v>
      </c>
      <c r="K86" s="14" t="s">
        <v>20</v>
      </c>
    </row>
    <row r="87" spans="1:11" s="14" customFormat="1" ht="21" x14ac:dyDescent="0.35">
      <c r="A87" s="48"/>
      <c r="B87" s="34">
        <v>45953</v>
      </c>
      <c r="C87" s="35" t="s">
        <v>344</v>
      </c>
      <c r="D87" s="35" t="s">
        <v>345</v>
      </c>
      <c r="E87" s="35" t="s">
        <v>36</v>
      </c>
      <c r="F87" s="35" t="s">
        <v>288</v>
      </c>
      <c r="G87" s="36">
        <v>825</v>
      </c>
      <c r="H87" s="37" t="s">
        <v>7</v>
      </c>
      <c r="I87" s="35" t="s">
        <v>21</v>
      </c>
      <c r="J87" s="37" t="s">
        <v>11</v>
      </c>
      <c r="K87" s="14" t="s">
        <v>20</v>
      </c>
    </row>
    <row r="88" spans="1:11" s="14" customFormat="1" ht="21" x14ac:dyDescent="0.35">
      <c r="A88" s="48"/>
      <c r="B88" s="34">
        <v>45953</v>
      </c>
      <c r="C88" s="35" t="s">
        <v>346</v>
      </c>
      <c r="D88" s="35" t="s">
        <v>37</v>
      </c>
      <c r="E88" s="35" t="s">
        <v>36</v>
      </c>
      <c r="F88" s="35" t="s">
        <v>282</v>
      </c>
      <c r="G88" s="36">
        <v>860.75</v>
      </c>
      <c r="H88" s="37" t="s">
        <v>7</v>
      </c>
      <c r="I88" s="35" t="s">
        <v>21</v>
      </c>
      <c r="J88" s="37" t="s">
        <v>11</v>
      </c>
      <c r="K88" s="14" t="s">
        <v>20</v>
      </c>
    </row>
    <row r="89" spans="1:11" s="14" customFormat="1" ht="21" x14ac:dyDescent="0.35">
      <c r="A89" s="48"/>
      <c r="B89" s="34">
        <v>45953</v>
      </c>
      <c r="C89" s="35" t="s">
        <v>347</v>
      </c>
      <c r="D89" s="35" t="s">
        <v>88</v>
      </c>
      <c r="E89" s="35" t="s">
        <v>36</v>
      </c>
      <c r="F89" s="35" t="s">
        <v>294</v>
      </c>
      <c r="G89" s="36">
        <v>953.77</v>
      </c>
      <c r="H89" s="37" t="s">
        <v>7</v>
      </c>
      <c r="I89" s="35" t="s">
        <v>21</v>
      </c>
      <c r="J89" s="37" t="s">
        <v>42</v>
      </c>
      <c r="K89" s="14" t="s">
        <v>20</v>
      </c>
    </row>
    <row r="90" spans="1:11" ht="21" x14ac:dyDescent="0.35">
      <c r="A90" s="48"/>
      <c r="B90" s="34">
        <v>45953</v>
      </c>
      <c r="C90" s="35" t="s">
        <v>348</v>
      </c>
      <c r="D90" s="35" t="s">
        <v>40</v>
      </c>
      <c r="E90" s="35" t="s">
        <v>36</v>
      </c>
      <c r="F90" s="35" t="s">
        <v>294</v>
      </c>
      <c r="G90" s="36">
        <v>526.66</v>
      </c>
      <c r="H90" s="37" t="s">
        <v>7</v>
      </c>
      <c r="I90" s="35" t="s">
        <v>21</v>
      </c>
      <c r="J90" s="37" t="s">
        <v>9</v>
      </c>
      <c r="K90" t="s">
        <v>20</v>
      </c>
    </row>
    <row r="91" spans="1:11" s="14" customFormat="1" ht="21" x14ac:dyDescent="0.35">
      <c r="A91" s="48"/>
      <c r="B91" s="34">
        <v>45954</v>
      </c>
      <c r="C91" s="35" t="s">
        <v>349</v>
      </c>
      <c r="D91" s="35" t="s">
        <v>61</v>
      </c>
      <c r="E91" s="35" t="s">
        <v>36</v>
      </c>
      <c r="F91" s="35" t="s">
        <v>278</v>
      </c>
      <c r="G91" s="36">
        <v>150</v>
      </c>
      <c r="H91" s="37" t="s">
        <v>7</v>
      </c>
      <c r="I91" s="35" t="s">
        <v>21</v>
      </c>
      <c r="J91" s="37" t="s">
        <v>9</v>
      </c>
      <c r="K91" s="14" t="s">
        <v>20</v>
      </c>
    </row>
    <row r="92" spans="1:11" s="14" customFormat="1" ht="21" x14ac:dyDescent="0.35">
      <c r="A92" s="48"/>
      <c r="B92" s="34">
        <v>45954</v>
      </c>
      <c r="C92" s="35" t="s">
        <v>350</v>
      </c>
      <c r="D92" s="35" t="s">
        <v>41</v>
      </c>
      <c r="E92" s="35" t="s">
        <v>36</v>
      </c>
      <c r="F92" s="35" t="s">
        <v>278</v>
      </c>
      <c r="G92" s="36">
        <v>50</v>
      </c>
      <c r="H92" s="37" t="s">
        <v>7</v>
      </c>
      <c r="I92" s="35" t="s">
        <v>21</v>
      </c>
      <c r="J92" s="37"/>
      <c r="K92" s="14" t="s">
        <v>20</v>
      </c>
    </row>
    <row r="93" spans="1:11" ht="21" x14ac:dyDescent="0.35">
      <c r="A93" s="48"/>
      <c r="B93" s="34">
        <v>45954</v>
      </c>
      <c r="C93" s="35" t="s">
        <v>351</v>
      </c>
      <c r="D93" s="35" t="s">
        <v>37</v>
      </c>
      <c r="E93" s="35" t="s">
        <v>36</v>
      </c>
      <c r="F93" s="35" t="s">
        <v>281</v>
      </c>
      <c r="G93" s="36">
        <v>439.72</v>
      </c>
      <c r="H93" s="37" t="s">
        <v>7</v>
      </c>
      <c r="I93" s="35" t="s">
        <v>21</v>
      </c>
      <c r="J93" s="37" t="s">
        <v>257</v>
      </c>
      <c r="K93" t="s">
        <v>20</v>
      </c>
    </row>
    <row r="94" spans="1:11" s="14" customFormat="1" ht="21" x14ac:dyDescent="0.35">
      <c r="A94" s="48"/>
      <c r="B94" s="34">
        <v>45954</v>
      </c>
      <c r="C94" s="35" t="s">
        <v>352</v>
      </c>
      <c r="D94" s="35" t="s">
        <v>37</v>
      </c>
      <c r="E94" s="35" t="s">
        <v>36</v>
      </c>
      <c r="F94" s="35" t="s">
        <v>294</v>
      </c>
      <c r="G94" s="36">
        <v>656.68</v>
      </c>
      <c r="H94" s="37" t="s">
        <v>7</v>
      </c>
      <c r="I94" s="35" t="s">
        <v>21</v>
      </c>
      <c r="J94" s="37" t="s">
        <v>11</v>
      </c>
      <c r="K94" s="14" t="s">
        <v>20</v>
      </c>
    </row>
    <row r="95" spans="1:11" s="14" customFormat="1" ht="21" x14ac:dyDescent="0.35">
      <c r="A95" s="48"/>
      <c r="B95" s="34">
        <v>45954</v>
      </c>
      <c r="C95" s="35" t="s">
        <v>353</v>
      </c>
      <c r="D95" s="35" t="s">
        <v>40</v>
      </c>
      <c r="E95" s="35" t="s">
        <v>36</v>
      </c>
      <c r="F95" s="35" t="s">
        <v>294</v>
      </c>
      <c r="G95" s="36">
        <v>400</v>
      </c>
      <c r="H95" s="37" t="s">
        <v>7</v>
      </c>
      <c r="I95" s="35" t="s">
        <v>21</v>
      </c>
      <c r="J95" s="37" t="s">
        <v>28</v>
      </c>
      <c r="K95" s="14" t="s">
        <v>20</v>
      </c>
    </row>
    <row r="96" spans="1:11" s="14" customFormat="1" ht="21" x14ac:dyDescent="0.35">
      <c r="A96" s="48"/>
      <c r="B96" s="34">
        <v>45955</v>
      </c>
      <c r="C96" s="35" t="s">
        <v>355</v>
      </c>
      <c r="D96" s="35" t="s">
        <v>41</v>
      </c>
      <c r="E96" s="35" t="s">
        <v>36</v>
      </c>
      <c r="F96" s="35" t="s">
        <v>278</v>
      </c>
      <c r="G96" s="36">
        <v>2290</v>
      </c>
      <c r="H96" s="37" t="s">
        <v>7</v>
      </c>
      <c r="I96" s="35" t="s">
        <v>21</v>
      </c>
      <c r="J96" s="37" t="s">
        <v>51</v>
      </c>
      <c r="K96" s="14" t="s">
        <v>20</v>
      </c>
    </row>
    <row r="97" spans="1:11" s="14" customFormat="1" ht="21" x14ac:dyDescent="0.35">
      <c r="A97" s="48"/>
      <c r="B97" s="34">
        <v>45956</v>
      </c>
      <c r="C97" s="35" t="s">
        <v>356</v>
      </c>
      <c r="D97" s="35" t="s">
        <v>41</v>
      </c>
      <c r="E97" s="35" t="s">
        <v>36</v>
      </c>
      <c r="F97" s="35" t="s">
        <v>278</v>
      </c>
      <c r="G97" s="36">
        <v>500</v>
      </c>
      <c r="H97" s="37" t="s">
        <v>7</v>
      </c>
      <c r="I97" s="35" t="s">
        <v>21</v>
      </c>
      <c r="J97" s="37" t="s">
        <v>45</v>
      </c>
      <c r="K97" s="14" t="s">
        <v>20</v>
      </c>
    </row>
    <row r="98" spans="1:11" ht="21" x14ac:dyDescent="0.35">
      <c r="A98" s="48"/>
      <c r="B98" s="34">
        <v>45957</v>
      </c>
      <c r="C98" s="35" t="s">
        <v>358</v>
      </c>
      <c r="D98" s="35" t="s">
        <v>37</v>
      </c>
      <c r="E98" s="35" t="s">
        <v>36</v>
      </c>
      <c r="F98" s="35" t="s">
        <v>275</v>
      </c>
      <c r="G98" s="36">
        <v>287.5</v>
      </c>
      <c r="H98" s="37" t="s">
        <v>7</v>
      </c>
      <c r="I98" s="35" t="s">
        <v>21</v>
      </c>
      <c r="J98" s="37" t="s">
        <v>45</v>
      </c>
      <c r="K98" t="s">
        <v>20</v>
      </c>
    </row>
    <row r="99" spans="1:11" s="14" customFormat="1" ht="21" x14ac:dyDescent="0.35">
      <c r="A99" s="48"/>
      <c r="B99" s="34">
        <v>45957</v>
      </c>
      <c r="C99" s="35" t="s">
        <v>360</v>
      </c>
      <c r="D99" s="35" t="s">
        <v>37</v>
      </c>
      <c r="E99" s="35" t="s">
        <v>36</v>
      </c>
      <c r="F99" s="35" t="s">
        <v>281</v>
      </c>
      <c r="G99" s="36">
        <v>347.75</v>
      </c>
      <c r="H99" s="37" t="s">
        <v>7</v>
      </c>
      <c r="I99" s="35" t="s">
        <v>21</v>
      </c>
      <c r="J99" s="37" t="s">
        <v>57</v>
      </c>
      <c r="K99" s="14" t="s">
        <v>20</v>
      </c>
    </row>
    <row r="100" spans="1:11" s="14" customFormat="1" ht="21" x14ac:dyDescent="0.35">
      <c r="A100" s="48"/>
      <c r="B100" s="34">
        <v>45957</v>
      </c>
      <c r="C100" s="35" t="s">
        <v>362</v>
      </c>
      <c r="D100" s="35" t="s">
        <v>37</v>
      </c>
      <c r="E100" s="35" t="s">
        <v>36</v>
      </c>
      <c r="F100" s="35" t="s">
        <v>278</v>
      </c>
      <c r="G100" s="36">
        <v>750</v>
      </c>
      <c r="H100" s="37" t="s">
        <v>7</v>
      </c>
      <c r="I100" s="35" t="s">
        <v>62</v>
      </c>
      <c r="J100" s="37" t="s">
        <v>297</v>
      </c>
      <c r="K100" s="14" t="s">
        <v>20</v>
      </c>
    </row>
    <row r="101" spans="1:11" s="14" customFormat="1" ht="21" x14ac:dyDescent="0.35">
      <c r="A101" s="48"/>
      <c r="B101" s="34">
        <v>45957</v>
      </c>
      <c r="C101" s="35" t="s">
        <v>363</v>
      </c>
      <c r="D101" s="35" t="s">
        <v>61</v>
      </c>
      <c r="E101" s="35" t="s">
        <v>36</v>
      </c>
      <c r="F101" s="35" t="s">
        <v>278</v>
      </c>
      <c r="G101" s="36">
        <v>396</v>
      </c>
      <c r="H101" s="37" t="s">
        <v>7</v>
      </c>
      <c r="I101" s="35" t="s">
        <v>21</v>
      </c>
      <c r="J101" s="37" t="s">
        <v>11</v>
      </c>
      <c r="K101" s="14" t="s">
        <v>20</v>
      </c>
    </row>
    <row r="102" spans="1:11" ht="21" x14ac:dyDescent="0.35">
      <c r="A102" s="48"/>
      <c r="B102" s="34">
        <v>45957</v>
      </c>
      <c r="C102" s="35" t="s">
        <v>357</v>
      </c>
      <c r="D102" s="35" t="s">
        <v>37</v>
      </c>
      <c r="E102" s="35" t="s">
        <v>36</v>
      </c>
      <c r="F102" s="35" t="s">
        <v>285</v>
      </c>
      <c r="G102" s="36">
        <v>271.73</v>
      </c>
      <c r="H102" s="37" t="s">
        <v>7</v>
      </c>
      <c r="I102" s="37" t="s">
        <v>21</v>
      </c>
      <c r="J102" s="37" t="s">
        <v>10</v>
      </c>
      <c r="K102" t="s">
        <v>20</v>
      </c>
    </row>
    <row r="103" spans="1:11" ht="21" x14ac:dyDescent="0.35">
      <c r="A103" s="48"/>
      <c r="B103" s="34">
        <v>45958</v>
      </c>
      <c r="C103" s="35" t="s">
        <v>25</v>
      </c>
      <c r="D103" s="35" t="s">
        <v>37</v>
      </c>
      <c r="E103" s="35" t="s">
        <v>36</v>
      </c>
      <c r="F103" s="35" t="s">
        <v>276</v>
      </c>
      <c r="G103" s="36">
        <v>290</v>
      </c>
      <c r="H103" s="37" t="s">
        <v>7</v>
      </c>
      <c r="I103" s="37" t="s">
        <v>46</v>
      </c>
      <c r="J103" s="37" t="s">
        <v>22</v>
      </c>
      <c r="K103" t="s">
        <v>20</v>
      </c>
    </row>
    <row r="104" spans="1:11" ht="21" x14ac:dyDescent="0.35">
      <c r="A104" s="48"/>
      <c r="B104" s="34">
        <v>45957</v>
      </c>
      <c r="C104" s="35" t="s">
        <v>359</v>
      </c>
      <c r="D104" s="35" t="s">
        <v>37</v>
      </c>
      <c r="E104" s="35" t="s">
        <v>36</v>
      </c>
      <c r="F104" s="35" t="s">
        <v>281</v>
      </c>
      <c r="G104" s="36">
        <v>336.25</v>
      </c>
      <c r="H104" s="37" t="s">
        <v>7</v>
      </c>
      <c r="I104" s="37" t="s">
        <v>21</v>
      </c>
      <c r="J104" s="37" t="s">
        <v>265</v>
      </c>
      <c r="K104" t="s">
        <v>20</v>
      </c>
    </row>
    <row r="105" spans="1:11" s="14" customFormat="1" ht="21" x14ac:dyDescent="0.35">
      <c r="A105" s="48"/>
      <c r="B105" s="34">
        <v>45957</v>
      </c>
      <c r="C105" s="35" t="s">
        <v>361</v>
      </c>
      <c r="D105" s="35" t="s">
        <v>37</v>
      </c>
      <c r="E105" s="35" t="s">
        <v>36</v>
      </c>
      <c r="F105" s="35" t="s">
        <v>282</v>
      </c>
      <c r="G105" s="36">
        <v>2388.25</v>
      </c>
      <c r="H105" s="37" t="s">
        <v>7</v>
      </c>
      <c r="I105" s="37" t="s">
        <v>21</v>
      </c>
      <c r="J105" s="37" t="s">
        <v>11</v>
      </c>
      <c r="K105" s="14" t="s">
        <v>20</v>
      </c>
    </row>
    <row r="106" spans="1:11" s="14" customFormat="1" ht="21" x14ac:dyDescent="0.35">
      <c r="A106" s="48"/>
      <c r="B106" s="34">
        <v>45958</v>
      </c>
      <c r="C106" s="35" t="s">
        <v>364</v>
      </c>
      <c r="D106" s="35" t="s">
        <v>41</v>
      </c>
      <c r="E106" s="35" t="s">
        <v>36</v>
      </c>
      <c r="F106" s="35" t="s">
        <v>278</v>
      </c>
      <c r="G106" s="36">
        <v>350</v>
      </c>
      <c r="H106" s="37" t="s">
        <v>7</v>
      </c>
      <c r="I106" s="37" t="s">
        <v>21</v>
      </c>
      <c r="J106" s="37" t="s">
        <v>45</v>
      </c>
      <c r="K106" s="14" t="s">
        <v>20</v>
      </c>
    </row>
    <row r="107" spans="1:11" s="14" customFormat="1" ht="21" x14ac:dyDescent="0.35">
      <c r="A107" s="48"/>
      <c r="B107" s="34">
        <v>45958</v>
      </c>
      <c r="C107" s="35" t="s">
        <v>365</v>
      </c>
      <c r="D107" s="35" t="s">
        <v>366</v>
      </c>
      <c r="E107" s="35" t="s">
        <v>36</v>
      </c>
      <c r="F107" s="35" t="s">
        <v>278</v>
      </c>
      <c r="G107" s="36">
        <v>300</v>
      </c>
      <c r="H107" s="37" t="s">
        <v>7</v>
      </c>
      <c r="I107" s="37" t="s">
        <v>21</v>
      </c>
      <c r="J107" s="37" t="s">
        <v>24</v>
      </c>
      <c r="K107" s="14" t="s">
        <v>20</v>
      </c>
    </row>
    <row r="108" spans="1:11" s="14" customFormat="1" ht="21" x14ac:dyDescent="0.35">
      <c r="A108" s="48"/>
      <c r="B108" s="34">
        <v>45958</v>
      </c>
      <c r="C108" s="35" t="s">
        <v>367</v>
      </c>
      <c r="D108" s="35" t="s">
        <v>41</v>
      </c>
      <c r="E108" s="35" t="s">
        <v>36</v>
      </c>
      <c r="F108" s="35" t="s">
        <v>278</v>
      </c>
      <c r="G108" s="36">
        <v>330</v>
      </c>
      <c r="H108" s="37" t="s">
        <v>7</v>
      </c>
      <c r="I108" s="37" t="s">
        <v>46</v>
      </c>
      <c r="J108" s="37" t="s">
        <v>45</v>
      </c>
      <c r="K108" s="14" t="s">
        <v>20</v>
      </c>
    </row>
    <row r="109" spans="1:11" ht="21" x14ac:dyDescent="0.35">
      <c r="A109" s="48"/>
      <c r="B109" s="34">
        <v>45959</v>
      </c>
      <c r="C109" s="35" t="s">
        <v>368</v>
      </c>
      <c r="D109" s="35" t="s">
        <v>37</v>
      </c>
      <c r="E109" s="35" t="s">
        <v>36</v>
      </c>
      <c r="F109" s="35" t="s">
        <v>275</v>
      </c>
      <c r="G109" s="36">
        <v>953.75</v>
      </c>
      <c r="H109" s="37" t="s">
        <v>7</v>
      </c>
      <c r="I109" s="37" t="s">
        <v>23</v>
      </c>
      <c r="J109" s="37" t="s">
        <v>24</v>
      </c>
      <c r="K109" t="s">
        <v>20</v>
      </c>
    </row>
    <row r="110" spans="1:11" ht="21" x14ac:dyDescent="0.35">
      <c r="A110" s="48"/>
      <c r="B110" s="34">
        <v>45959</v>
      </c>
      <c r="C110" s="35" t="s">
        <v>361</v>
      </c>
      <c r="D110" s="35" t="s">
        <v>37</v>
      </c>
      <c r="E110" s="35" t="s">
        <v>36</v>
      </c>
      <c r="F110" s="35" t="s">
        <v>278</v>
      </c>
      <c r="G110" s="36">
        <v>240</v>
      </c>
      <c r="H110" s="37" t="s">
        <v>7</v>
      </c>
      <c r="I110" s="35" t="s">
        <v>23</v>
      </c>
      <c r="J110" s="37" t="s">
        <v>11</v>
      </c>
      <c r="K110" t="s">
        <v>20</v>
      </c>
    </row>
    <row r="111" spans="1:11" ht="21" x14ac:dyDescent="0.35">
      <c r="A111" s="48"/>
      <c r="B111" s="34">
        <v>45961</v>
      </c>
      <c r="C111" s="35" t="s">
        <v>370</v>
      </c>
      <c r="D111" s="35" t="s">
        <v>37</v>
      </c>
      <c r="E111" s="35" t="s">
        <v>36</v>
      </c>
      <c r="F111" s="35" t="s">
        <v>275</v>
      </c>
      <c r="G111" s="36">
        <v>244.75</v>
      </c>
      <c r="H111" s="37" t="s">
        <v>7</v>
      </c>
      <c r="I111" s="37" t="s">
        <v>21</v>
      </c>
      <c r="J111" s="37" t="s">
        <v>67</v>
      </c>
      <c r="K111" t="s">
        <v>20</v>
      </c>
    </row>
    <row r="112" spans="1:11" ht="21" x14ac:dyDescent="0.35">
      <c r="A112" s="48"/>
      <c r="B112" s="34">
        <v>45961</v>
      </c>
      <c r="C112" s="35" t="s">
        <v>329</v>
      </c>
      <c r="D112" s="35" t="s">
        <v>37</v>
      </c>
      <c r="E112" s="35" t="s">
        <v>36</v>
      </c>
      <c r="F112" s="35" t="s">
        <v>278</v>
      </c>
      <c r="G112" s="36">
        <v>41</v>
      </c>
      <c r="H112" s="37" t="s">
        <v>7</v>
      </c>
      <c r="I112" s="37" t="s">
        <v>21</v>
      </c>
      <c r="J112" s="37" t="s">
        <v>13</v>
      </c>
      <c r="K112" t="s">
        <v>20</v>
      </c>
    </row>
    <row r="113" spans="1:11" ht="21" x14ac:dyDescent="0.35">
      <c r="A113" s="48"/>
      <c r="B113" s="34">
        <v>45961</v>
      </c>
      <c r="C113" s="35" t="s">
        <v>371</v>
      </c>
      <c r="D113" s="35" t="s">
        <v>37</v>
      </c>
      <c r="E113" s="35" t="s">
        <v>36</v>
      </c>
      <c r="F113" s="35" t="s">
        <v>288</v>
      </c>
      <c r="G113" s="36">
        <v>140.66</v>
      </c>
      <c r="H113" s="37" t="s">
        <v>7</v>
      </c>
      <c r="I113" s="37" t="s">
        <v>21</v>
      </c>
      <c r="J113" s="37" t="s">
        <v>28</v>
      </c>
      <c r="K113" t="s">
        <v>20</v>
      </c>
    </row>
    <row r="114" spans="1:11" s="14" customFormat="1" ht="21" x14ac:dyDescent="0.35">
      <c r="A114" s="48"/>
      <c r="B114" s="34">
        <v>45961</v>
      </c>
      <c r="C114" s="35" t="s">
        <v>372</v>
      </c>
      <c r="D114" s="35" t="s">
        <v>37</v>
      </c>
      <c r="E114" s="35" t="s">
        <v>36</v>
      </c>
      <c r="F114" s="35" t="s">
        <v>294</v>
      </c>
      <c r="G114" s="36">
        <v>622</v>
      </c>
      <c r="H114" s="37" t="s">
        <v>7</v>
      </c>
      <c r="I114" s="37" t="s">
        <v>21</v>
      </c>
      <c r="J114" s="37" t="s">
        <v>28</v>
      </c>
      <c r="K114" s="14" t="s">
        <v>20</v>
      </c>
    </row>
    <row r="115" spans="1:11" s="14" customFormat="1" ht="21" x14ac:dyDescent="0.35">
      <c r="A115" s="48"/>
      <c r="B115" s="34">
        <v>45961</v>
      </c>
      <c r="C115" s="35" t="s">
        <v>373</v>
      </c>
      <c r="D115" s="35"/>
      <c r="E115" s="35"/>
      <c r="F115" s="35"/>
      <c r="G115" s="36"/>
      <c r="H115" s="37"/>
      <c r="I115" s="37"/>
      <c r="J115" s="37"/>
    </row>
    <row r="116" spans="1:11" s="14" customFormat="1" ht="21" x14ac:dyDescent="0.35">
      <c r="A116" s="48"/>
      <c r="B116" s="34"/>
      <c r="C116" s="35"/>
      <c r="D116" s="35"/>
      <c r="E116" s="35"/>
      <c r="F116" s="35"/>
      <c r="G116" s="36"/>
      <c r="H116" s="37"/>
      <c r="I116" s="37"/>
      <c r="J116" s="37"/>
    </row>
    <row r="117" spans="1:11" ht="21" x14ac:dyDescent="0.35">
      <c r="A117" s="48"/>
      <c r="B117" s="34"/>
      <c r="C117" s="35"/>
      <c r="D117" s="35"/>
      <c r="E117" s="35"/>
      <c r="F117" s="35"/>
      <c r="G117" s="36"/>
      <c r="H117" s="37"/>
      <c r="I117" s="37"/>
      <c r="J117" s="37"/>
    </row>
    <row r="118" spans="1:11" ht="21" x14ac:dyDescent="0.35">
      <c r="A118" s="48"/>
      <c r="B118" s="37"/>
      <c r="C118" s="37" t="s">
        <v>8</v>
      </c>
      <c r="D118" s="37"/>
      <c r="E118" s="37"/>
      <c r="F118" s="35"/>
      <c r="G118" s="36">
        <f>SUM(G34:G114)</f>
        <v>48757.640000000014</v>
      </c>
      <c r="H118" s="37"/>
      <c r="I118" s="37"/>
      <c r="J118" s="37"/>
    </row>
    <row r="119" spans="1:11" ht="21" x14ac:dyDescent="0.35">
      <c r="A119" s="48"/>
      <c r="B119" s="37"/>
      <c r="C119" s="37"/>
      <c r="D119" s="37"/>
      <c r="E119" s="37"/>
      <c r="F119" s="37"/>
      <c r="G119" s="36"/>
      <c r="H119" s="37"/>
      <c r="I119" s="37"/>
      <c r="J119" s="37"/>
    </row>
  </sheetData>
  <mergeCells count="2">
    <mergeCell ref="A1:H1"/>
    <mergeCell ref="A32:H32"/>
  </mergeCells>
  <conditionalFormatting sqref="H9:I11 H13:I16 H24:I25 H74:I74 H30:I31 H111:I117 H35:I36 H50:I61 H38:I48 H63:I71 H76:I109">
    <cfRule type="containsText" dxfId="173" priority="388" operator="containsText" text="ATRASADO">
      <formula>NOT(ISERROR(SEARCH("ATRASADO",H9)))</formula>
    </cfRule>
    <cfRule type="containsText" dxfId="172" priority="389" operator="containsText" text="A PAGAR">
      <formula>NOT(ISERROR(SEARCH("A PAGAR",H9)))</formula>
    </cfRule>
    <cfRule type="containsText" dxfId="171" priority="390" operator="containsText" text="PAGO">
      <formula>NOT(ISERROR(SEARCH("PAGO",H9)))</formula>
    </cfRule>
  </conditionalFormatting>
  <conditionalFormatting sqref="H34">
    <cfRule type="containsText" dxfId="170" priority="334" operator="containsText" text="ATRASADO">
      <formula>NOT(ISERROR(SEARCH("ATRASADO",H34)))</formula>
    </cfRule>
    <cfRule type="containsText" dxfId="169" priority="335" operator="containsText" text="A PAGAR">
      <formula>NOT(ISERROR(SEARCH("A PAGAR",H34)))</formula>
    </cfRule>
    <cfRule type="containsText" dxfId="168" priority="336" operator="containsText" text="PAGO">
      <formula>NOT(ISERROR(SEARCH("PAGO",H34)))</formula>
    </cfRule>
  </conditionalFormatting>
  <conditionalFormatting sqref="H118:I119">
    <cfRule type="containsText" dxfId="167" priority="331" operator="containsText" text="ATRASADO">
      <formula>NOT(ISERROR(SEARCH("ATRASADO",H118)))</formula>
    </cfRule>
    <cfRule type="containsText" dxfId="166" priority="332" operator="containsText" text="A PAGAR">
      <formula>NOT(ISERROR(SEARCH("A PAGAR",H118)))</formula>
    </cfRule>
    <cfRule type="containsText" dxfId="165" priority="333" operator="containsText" text="PAGO">
      <formula>NOT(ISERROR(SEARCH("PAGO",H118)))</formula>
    </cfRule>
  </conditionalFormatting>
  <conditionalFormatting sqref="H75:I75">
    <cfRule type="containsText" dxfId="164" priority="328" operator="containsText" text="ATRASADO">
      <formula>NOT(ISERROR(SEARCH("ATRASADO",H75)))</formula>
    </cfRule>
    <cfRule type="containsText" dxfId="163" priority="329" operator="containsText" text="A PAGAR">
      <formula>NOT(ISERROR(SEARCH("A PAGAR",H75)))</formula>
    </cfRule>
    <cfRule type="containsText" dxfId="162" priority="330" operator="containsText" text="PAGO">
      <formula>NOT(ISERROR(SEARCH("PAGO",H75)))</formula>
    </cfRule>
  </conditionalFormatting>
  <conditionalFormatting sqref="H5:I5">
    <cfRule type="containsText" dxfId="161" priority="316" operator="containsText" text="ATRASADO">
      <formula>NOT(ISERROR(SEARCH("ATRASADO",H5)))</formula>
    </cfRule>
    <cfRule type="containsText" dxfId="160" priority="317" operator="containsText" text="A PAGAR">
      <formula>NOT(ISERROR(SEARCH("A PAGAR",H5)))</formula>
    </cfRule>
    <cfRule type="containsText" dxfId="159" priority="318" operator="containsText" text="PAGO">
      <formula>NOT(ISERROR(SEARCH("PAGO",H5)))</formula>
    </cfRule>
  </conditionalFormatting>
  <conditionalFormatting sqref="H8">
    <cfRule type="containsText" dxfId="158" priority="319" operator="containsText" text="ATRASADO">
      <formula>NOT(ISERROR(SEARCH("ATRASADO",H8)))</formula>
    </cfRule>
    <cfRule type="containsText" dxfId="157" priority="320" operator="containsText" text="A PAGAR">
      <formula>NOT(ISERROR(SEARCH("A PAGAR",H8)))</formula>
    </cfRule>
    <cfRule type="containsText" dxfId="156" priority="321" operator="containsText" text="PAGO">
      <formula>NOT(ISERROR(SEARCH("PAGO",H8)))</formula>
    </cfRule>
  </conditionalFormatting>
  <conditionalFormatting sqref="H12:I12">
    <cfRule type="containsText" dxfId="155" priority="304" operator="containsText" text="ATRASADO">
      <formula>NOT(ISERROR(SEARCH("ATRASADO",H12)))</formula>
    </cfRule>
    <cfRule type="containsText" dxfId="154" priority="305" operator="containsText" text="A PAGAR">
      <formula>NOT(ISERROR(SEARCH("A PAGAR",H12)))</formula>
    </cfRule>
    <cfRule type="containsText" dxfId="153" priority="306" operator="containsText" text="PAGO">
      <formula>NOT(ISERROR(SEARCH("PAGO",H12)))</formula>
    </cfRule>
  </conditionalFormatting>
  <conditionalFormatting sqref="H37:I37">
    <cfRule type="containsText" dxfId="152" priority="292" operator="containsText" text="ATRASADO">
      <formula>NOT(ISERROR(SEARCH("ATRASADO",H37)))</formula>
    </cfRule>
    <cfRule type="containsText" dxfId="151" priority="293" operator="containsText" text="A PAGAR">
      <formula>NOT(ISERROR(SEARCH("A PAGAR",H37)))</formula>
    </cfRule>
    <cfRule type="containsText" dxfId="150" priority="294" operator="containsText" text="PAGO">
      <formula>NOT(ISERROR(SEARCH("PAGO",H37)))</formula>
    </cfRule>
  </conditionalFormatting>
  <conditionalFormatting sqref="H72:I72">
    <cfRule type="containsText" dxfId="149" priority="289" operator="containsText" text="ATRASADO">
      <formula>NOT(ISERROR(SEARCH("ATRASADO",H72)))</formula>
    </cfRule>
    <cfRule type="containsText" dxfId="148" priority="290" operator="containsText" text="A PAGAR">
      <formula>NOT(ISERROR(SEARCH("A PAGAR",H72)))</formula>
    </cfRule>
    <cfRule type="containsText" dxfId="147" priority="291" operator="containsText" text="PAGO">
      <formula>NOT(ISERROR(SEARCH("PAGO",H72)))</formula>
    </cfRule>
  </conditionalFormatting>
  <conditionalFormatting sqref="H73:I73">
    <cfRule type="containsText" dxfId="146" priority="286" operator="containsText" text="ATRASADO">
      <formula>NOT(ISERROR(SEARCH("ATRASADO",H73)))</formula>
    </cfRule>
    <cfRule type="containsText" dxfId="145" priority="287" operator="containsText" text="A PAGAR">
      <formula>NOT(ISERROR(SEARCH("A PAGAR",H73)))</formula>
    </cfRule>
    <cfRule type="containsText" dxfId="144" priority="288" operator="containsText" text="PAGO">
      <formula>NOT(ISERROR(SEARCH("PAGO",H73)))</formula>
    </cfRule>
  </conditionalFormatting>
  <conditionalFormatting sqref="H6:I6">
    <cfRule type="containsText" dxfId="143" priority="244" operator="containsText" text="ATRASADO">
      <formula>NOT(ISERROR(SEARCH("ATRASADO",H6)))</formula>
    </cfRule>
    <cfRule type="containsText" dxfId="142" priority="245" operator="containsText" text="A PAGAR">
      <formula>NOT(ISERROR(SEARCH("A PAGAR",H6)))</formula>
    </cfRule>
    <cfRule type="containsText" dxfId="141" priority="246" operator="containsText" text="PAGO">
      <formula>NOT(ISERROR(SEARCH("PAGO",H6)))</formula>
    </cfRule>
  </conditionalFormatting>
  <conditionalFormatting sqref="H7:I7">
    <cfRule type="containsText" dxfId="140" priority="241" operator="containsText" text="ATRASADO">
      <formula>NOT(ISERROR(SEARCH("ATRASADO",H7)))</formula>
    </cfRule>
    <cfRule type="containsText" dxfId="139" priority="242" operator="containsText" text="A PAGAR">
      <formula>NOT(ISERROR(SEARCH("A PAGAR",H7)))</formula>
    </cfRule>
    <cfRule type="containsText" dxfId="138" priority="243" operator="containsText" text="PAGO">
      <formula>NOT(ISERROR(SEARCH("PAGO",H7)))</formula>
    </cfRule>
  </conditionalFormatting>
  <conditionalFormatting sqref="H49:I49">
    <cfRule type="containsText" dxfId="137" priority="229" operator="containsText" text="ATRASADO">
      <formula>NOT(ISERROR(SEARCH("ATRASADO",H49)))</formula>
    </cfRule>
    <cfRule type="containsText" dxfId="136" priority="230" operator="containsText" text="A PAGAR">
      <formula>NOT(ISERROR(SEARCH("A PAGAR",H49)))</formula>
    </cfRule>
    <cfRule type="containsText" dxfId="135" priority="231" operator="containsText" text="PAGO">
      <formula>NOT(ISERROR(SEARCH("PAGO",H49)))</formula>
    </cfRule>
  </conditionalFormatting>
  <conditionalFormatting sqref="H62:I62">
    <cfRule type="containsText" dxfId="134" priority="220" operator="containsText" text="ATRASADO">
      <formula>NOT(ISERROR(SEARCH("ATRASADO",H62)))</formula>
    </cfRule>
    <cfRule type="containsText" dxfId="133" priority="221" operator="containsText" text="A PAGAR">
      <formula>NOT(ISERROR(SEARCH("A PAGAR",H62)))</formula>
    </cfRule>
    <cfRule type="containsText" dxfId="132" priority="222" operator="containsText" text="PAGO">
      <formula>NOT(ISERROR(SEARCH("PAGO",H62)))</formula>
    </cfRule>
  </conditionalFormatting>
  <conditionalFormatting sqref="H17:I23">
    <cfRule type="containsText" dxfId="131" priority="217" operator="containsText" text="ATRASADO">
      <formula>NOT(ISERROR(SEARCH("ATRASADO",H17)))</formula>
    </cfRule>
    <cfRule type="containsText" dxfId="130" priority="218" operator="containsText" text="A PAGAR">
      <formula>NOT(ISERROR(SEARCH("A PAGAR",H17)))</formula>
    </cfRule>
    <cfRule type="containsText" dxfId="129" priority="219" operator="containsText" text="PAGO">
      <formula>NOT(ISERROR(SEARCH("PAGO",H17)))</formula>
    </cfRule>
  </conditionalFormatting>
  <conditionalFormatting sqref="H26:I29">
    <cfRule type="containsText" dxfId="128" priority="205" operator="containsText" text="ATRASADO">
      <formula>NOT(ISERROR(SEARCH("ATRASADO",H26)))</formula>
    </cfRule>
    <cfRule type="containsText" dxfId="127" priority="206" operator="containsText" text="A PAGAR">
      <formula>NOT(ISERROR(SEARCH("A PAGAR",H26)))</formula>
    </cfRule>
    <cfRule type="containsText" dxfId="126" priority="207" operator="containsText" text="PAGO">
      <formula>NOT(ISERROR(SEARCH("PAGO",H26)))</formula>
    </cfRule>
  </conditionalFormatting>
  <conditionalFormatting sqref="H110:I110">
    <cfRule type="containsText" dxfId="125" priority="196" operator="containsText" text="ATRASADO">
      <formula>NOT(ISERROR(SEARCH("ATRASADO",H110)))</formula>
    </cfRule>
    <cfRule type="containsText" dxfId="124" priority="197" operator="containsText" text="A PAGAR">
      <formula>NOT(ISERROR(SEARCH("A PAGAR",H110)))</formula>
    </cfRule>
    <cfRule type="containsText" dxfId="123" priority="198" operator="containsText" text="PAGO">
      <formula>NOT(ISERROR(SEARCH("PAGO",H110)))</formula>
    </cfRule>
  </conditionalFormatting>
  <conditionalFormatting sqref="H3:I3">
    <cfRule type="containsText" dxfId="122" priority="79" operator="containsText" text="ATRASADO">
      <formula>NOT(ISERROR(SEARCH("ATRASADO",H3)))</formula>
    </cfRule>
    <cfRule type="containsText" dxfId="121" priority="80" operator="containsText" text="A PAGAR">
      <formula>NOT(ISERROR(SEARCH("A PAGAR",H3)))</formula>
    </cfRule>
    <cfRule type="containsText" dxfId="120" priority="81" operator="containsText" text="PAGO">
      <formula>NOT(ISERROR(SEARCH("PAGO",H3)))</formula>
    </cfRule>
  </conditionalFormatting>
  <conditionalFormatting sqref="H4:I4">
    <cfRule type="containsText" dxfId="119" priority="82" operator="containsText" text="ATRASADO">
      <formula>NOT(ISERROR(SEARCH("ATRASADO",H4)))</formula>
    </cfRule>
    <cfRule type="containsText" dxfId="118" priority="83" operator="containsText" text="A PAGAR">
      <formula>NOT(ISERROR(SEARCH("A PAGAR",H4)))</formula>
    </cfRule>
    <cfRule type="containsText" dxfId="117" priority="84" operator="containsText" text="PAGO">
      <formula>NOT(ISERROR(SEARCH("PAGO",H4)))</formula>
    </cfRule>
  </conditionalFormatting>
  <pageMargins left="0.511811024" right="0.511811024" top="0.78740157499999996" bottom="0.78740157499999996" header="0.31496062000000002" footer="0.31496062000000002"/>
  <pageSetup paperSize="9" scale="2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2E3F-3354-4293-80CF-B52621F7FA0A}">
  <dimension ref="A1:K98"/>
  <sheetViews>
    <sheetView topLeftCell="A10" zoomScale="64" zoomScaleNormal="64" workbookViewId="0">
      <selection sqref="A1:H1"/>
    </sheetView>
  </sheetViews>
  <sheetFormatPr defaultRowHeight="15" x14ac:dyDescent="0.25"/>
  <cols>
    <col min="1" max="1" width="13.5703125" customWidth="1"/>
    <col min="2" max="2" width="21.42578125" customWidth="1"/>
    <col min="3" max="3" width="71.42578125" customWidth="1"/>
    <col min="4" max="4" width="39" customWidth="1"/>
    <col min="5" max="5" width="40.7109375" customWidth="1"/>
    <col min="6" max="6" width="12" customWidth="1"/>
    <col min="7" max="7" width="21.5703125" customWidth="1"/>
    <col min="8" max="8" width="14" customWidth="1"/>
    <col min="9" max="9" width="24.7109375" customWidth="1"/>
  </cols>
  <sheetData>
    <row r="1" spans="1:11" ht="21" x14ac:dyDescent="0.35">
      <c r="A1" s="70" t="s">
        <v>15</v>
      </c>
      <c r="B1" s="71"/>
      <c r="C1" s="71"/>
      <c r="D1" s="71"/>
      <c r="E1" s="71"/>
      <c r="F1" s="71"/>
      <c r="G1" s="71"/>
      <c r="H1" s="72"/>
      <c r="I1" s="65"/>
      <c r="J1" s="39"/>
    </row>
    <row r="2" spans="1:11" ht="21" x14ac:dyDescent="0.35">
      <c r="A2" s="63" t="s">
        <v>0</v>
      </c>
      <c r="B2" s="32" t="s">
        <v>1</v>
      </c>
      <c r="C2" s="32" t="s">
        <v>2</v>
      </c>
      <c r="D2" s="32" t="s">
        <v>31</v>
      </c>
      <c r="E2" s="32" t="s">
        <v>32</v>
      </c>
      <c r="F2" s="32" t="s">
        <v>273</v>
      </c>
      <c r="G2" s="32" t="s">
        <v>3</v>
      </c>
      <c r="H2" s="32" t="s">
        <v>4</v>
      </c>
      <c r="I2" s="33" t="s">
        <v>5</v>
      </c>
      <c r="J2" s="46" t="s">
        <v>6</v>
      </c>
    </row>
    <row r="3" spans="1:11" ht="21" x14ac:dyDescent="0.35">
      <c r="A3" s="56"/>
      <c r="B3" s="34">
        <v>45965</v>
      </c>
      <c r="C3" s="35" t="s">
        <v>396</v>
      </c>
      <c r="D3" s="35" t="s">
        <v>17</v>
      </c>
      <c r="E3" s="35" t="s">
        <v>36</v>
      </c>
      <c r="F3" s="35" t="s">
        <v>77</v>
      </c>
      <c r="G3" s="36">
        <v>490</v>
      </c>
      <c r="H3" s="37" t="s">
        <v>7</v>
      </c>
      <c r="I3" s="37" t="s">
        <v>23</v>
      </c>
      <c r="J3" s="37" t="s">
        <v>297</v>
      </c>
      <c r="K3" t="s">
        <v>20</v>
      </c>
    </row>
    <row r="4" spans="1:11" ht="21" x14ac:dyDescent="0.35">
      <c r="A4" s="56"/>
      <c r="B4" s="57">
        <v>45964</v>
      </c>
      <c r="C4" s="35" t="s">
        <v>302</v>
      </c>
      <c r="D4" s="35" t="s">
        <v>34</v>
      </c>
      <c r="E4" s="35" t="s">
        <v>33</v>
      </c>
      <c r="F4" s="35" t="s">
        <v>393</v>
      </c>
      <c r="G4" s="36">
        <v>626.5</v>
      </c>
      <c r="H4" s="37" t="s">
        <v>7</v>
      </c>
      <c r="I4" s="37" t="s">
        <v>21</v>
      </c>
      <c r="J4" s="37" t="s">
        <v>45</v>
      </c>
      <c r="K4" t="s">
        <v>20</v>
      </c>
    </row>
    <row r="5" spans="1:11" ht="21" x14ac:dyDescent="0.35">
      <c r="A5" s="56"/>
      <c r="B5" s="57">
        <v>45964</v>
      </c>
      <c r="C5" s="35" t="s">
        <v>302</v>
      </c>
      <c r="D5" s="35" t="s">
        <v>34</v>
      </c>
      <c r="E5" s="35" t="s">
        <v>33</v>
      </c>
      <c r="F5" s="35" t="s">
        <v>395</v>
      </c>
      <c r="G5" s="36">
        <v>698.8</v>
      </c>
      <c r="H5" s="37" t="s">
        <v>7</v>
      </c>
      <c r="I5" s="37" t="s">
        <v>21</v>
      </c>
      <c r="J5" s="37" t="s">
        <v>24</v>
      </c>
      <c r="K5" t="s">
        <v>20</v>
      </c>
    </row>
    <row r="6" spans="1:11" ht="21" x14ac:dyDescent="0.35">
      <c r="A6" s="38"/>
      <c r="B6" s="34">
        <v>45968</v>
      </c>
      <c r="C6" s="35" t="s">
        <v>291</v>
      </c>
      <c r="D6" s="35" t="s">
        <v>39</v>
      </c>
      <c r="E6" s="35" t="s">
        <v>36</v>
      </c>
      <c r="F6" s="35" t="s">
        <v>281</v>
      </c>
      <c r="G6" s="36">
        <v>1208.75</v>
      </c>
      <c r="H6" s="37" t="s">
        <v>7</v>
      </c>
      <c r="I6" s="37" t="s">
        <v>21</v>
      </c>
      <c r="J6" s="37" t="s">
        <v>297</v>
      </c>
      <c r="K6" t="s">
        <v>20</v>
      </c>
    </row>
    <row r="7" spans="1:11" ht="21" x14ac:dyDescent="0.35">
      <c r="A7" s="38"/>
      <c r="B7" s="34">
        <v>45971</v>
      </c>
      <c r="C7" s="35" t="s">
        <v>312</v>
      </c>
      <c r="D7" s="35" t="s">
        <v>17</v>
      </c>
      <c r="E7" s="35" t="s">
        <v>36</v>
      </c>
      <c r="F7" s="35" t="s">
        <v>281</v>
      </c>
      <c r="G7" s="36">
        <v>300</v>
      </c>
      <c r="H7" s="37" t="s">
        <v>7</v>
      </c>
      <c r="I7" s="37" t="s">
        <v>21</v>
      </c>
      <c r="J7" s="37" t="s">
        <v>297</v>
      </c>
      <c r="K7" t="s">
        <v>20</v>
      </c>
    </row>
    <row r="8" spans="1:11" ht="21" x14ac:dyDescent="0.35">
      <c r="A8" s="38"/>
      <c r="B8" s="34">
        <v>45964</v>
      </c>
      <c r="C8" s="35" t="s">
        <v>291</v>
      </c>
      <c r="D8" s="35" t="s">
        <v>39</v>
      </c>
      <c r="E8" s="35" t="s">
        <v>36</v>
      </c>
      <c r="F8" s="35" t="s">
        <v>275</v>
      </c>
      <c r="G8" s="36">
        <v>1262.5</v>
      </c>
      <c r="H8" s="37" t="s">
        <v>7</v>
      </c>
      <c r="I8" s="37" t="s">
        <v>21</v>
      </c>
      <c r="J8" s="37" t="s">
        <v>90</v>
      </c>
      <c r="K8" t="s">
        <v>20</v>
      </c>
    </row>
    <row r="9" spans="1:11" ht="21" x14ac:dyDescent="0.35">
      <c r="A9" s="38"/>
      <c r="B9" s="34">
        <v>45965</v>
      </c>
      <c r="C9" s="35" t="s">
        <v>291</v>
      </c>
      <c r="D9" s="35" t="s">
        <v>39</v>
      </c>
      <c r="E9" s="35" t="s">
        <v>36</v>
      </c>
      <c r="F9" s="35" t="s">
        <v>279</v>
      </c>
      <c r="G9" s="36">
        <v>1165</v>
      </c>
      <c r="H9" s="37" t="s">
        <v>7</v>
      </c>
      <c r="I9" s="37" t="s">
        <v>23</v>
      </c>
      <c r="J9" s="37" t="s">
        <v>90</v>
      </c>
      <c r="K9" t="s">
        <v>20</v>
      </c>
    </row>
    <row r="10" spans="1:11" s="14" customFormat="1" ht="21" x14ac:dyDescent="0.35">
      <c r="A10" s="38"/>
      <c r="B10" s="34">
        <v>45973</v>
      </c>
      <c r="C10" s="35" t="s">
        <v>311</v>
      </c>
      <c r="D10" s="35" t="s">
        <v>17</v>
      </c>
      <c r="E10" s="35" t="s">
        <v>36</v>
      </c>
      <c r="F10" s="35" t="s">
        <v>278</v>
      </c>
      <c r="G10" s="36">
        <v>575</v>
      </c>
      <c r="H10" s="37" t="s">
        <v>7</v>
      </c>
      <c r="I10" s="37" t="s">
        <v>21</v>
      </c>
      <c r="J10" s="37" t="s">
        <v>297</v>
      </c>
      <c r="K10" s="14" t="s">
        <v>20</v>
      </c>
    </row>
    <row r="11" spans="1:11" ht="21" x14ac:dyDescent="0.35">
      <c r="A11" s="38"/>
      <c r="B11" s="34">
        <v>45973</v>
      </c>
      <c r="C11" s="35" t="s">
        <v>313</v>
      </c>
      <c r="D11" s="35" t="s">
        <v>34</v>
      </c>
      <c r="E11" s="35" t="s">
        <v>33</v>
      </c>
      <c r="F11" s="35" t="s">
        <v>393</v>
      </c>
      <c r="G11" s="36">
        <v>913</v>
      </c>
      <c r="H11" s="37" t="s">
        <v>7</v>
      </c>
      <c r="I11" s="37" t="s">
        <v>21</v>
      </c>
      <c r="J11" s="37" t="s">
        <v>11</v>
      </c>
      <c r="K11" t="s">
        <v>20</v>
      </c>
    </row>
    <row r="12" spans="1:11" ht="21" x14ac:dyDescent="0.35">
      <c r="A12" s="38"/>
      <c r="B12" s="34">
        <v>45972</v>
      </c>
      <c r="C12" s="35" t="s">
        <v>302</v>
      </c>
      <c r="D12" s="35" t="s">
        <v>34</v>
      </c>
      <c r="E12" s="35" t="s">
        <v>33</v>
      </c>
      <c r="F12" s="35" t="s">
        <v>393</v>
      </c>
      <c r="G12" s="36">
        <v>1509.39</v>
      </c>
      <c r="H12" s="37" t="s">
        <v>7</v>
      </c>
      <c r="I12" s="37" t="s">
        <v>21</v>
      </c>
      <c r="J12" s="37" t="s">
        <v>90</v>
      </c>
      <c r="K12" t="s">
        <v>20</v>
      </c>
    </row>
    <row r="13" spans="1:11" ht="21" x14ac:dyDescent="0.35">
      <c r="A13" s="38"/>
      <c r="B13" s="34">
        <v>45974</v>
      </c>
      <c r="C13" s="35" t="s">
        <v>326</v>
      </c>
      <c r="D13" s="35" t="s">
        <v>39</v>
      </c>
      <c r="E13" s="35" t="s">
        <v>36</v>
      </c>
      <c r="F13" s="35" t="s">
        <v>281</v>
      </c>
      <c r="G13" s="36">
        <v>1177.5</v>
      </c>
      <c r="H13" s="37" t="s">
        <v>7</v>
      </c>
      <c r="I13" s="37" t="s">
        <v>21</v>
      </c>
      <c r="J13" s="37" t="s">
        <v>90</v>
      </c>
      <c r="K13" t="s">
        <v>20</v>
      </c>
    </row>
    <row r="14" spans="1:11" ht="21" x14ac:dyDescent="0.35">
      <c r="A14" s="38"/>
      <c r="B14" s="34">
        <v>45975</v>
      </c>
      <c r="C14" s="35" t="s">
        <v>327</v>
      </c>
      <c r="D14" s="35" t="s">
        <v>34</v>
      </c>
      <c r="E14" s="35" t="s">
        <v>36</v>
      </c>
      <c r="F14" s="35" t="s">
        <v>281</v>
      </c>
      <c r="G14" s="36">
        <v>1679.5</v>
      </c>
      <c r="H14" s="37" t="s">
        <v>7</v>
      </c>
      <c r="I14" s="37" t="s">
        <v>21</v>
      </c>
      <c r="J14" s="37" t="s">
        <v>10</v>
      </c>
      <c r="K14" t="s">
        <v>20</v>
      </c>
    </row>
    <row r="15" spans="1:11" ht="21" x14ac:dyDescent="0.35">
      <c r="A15" s="38"/>
      <c r="B15" s="34">
        <v>45980</v>
      </c>
      <c r="C15" s="35" t="s">
        <v>332</v>
      </c>
      <c r="D15" s="35" t="s">
        <v>34</v>
      </c>
      <c r="E15" s="35" t="s">
        <v>33</v>
      </c>
      <c r="F15" s="35" t="s">
        <v>393</v>
      </c>
      <c r="G15" s="36">
        <v>1638</v>
      </c>
      <c r="H15" s="37" t="s">
        <v>7</v>
      </c>
      <c r="I15" s="37" t="s">
        <v>23</v>
      </c>
      <c r="J15" s="37" t="s">
        <v>90</v>
      </c>
      <c r="K15" t="s">
        <v>20</v>
      </c>
    </row>
    <row r="16" spans="1:11" ht="21" x14ac:dyDescent="0.35">
      <c r="A16" s="38"/>
      <c r="B16" s="34">
        <v>45982</v>
      </c>
      <c r="C16" s="35" t="s">
        <v>342</v>
      </c>
      <c r="D16" s="35" t="s">
        <v>34</v>
      </c>
      <c r="E16" s="35" t="s">
        <v>33</v>
      </c>
      <c r="F16" s="35" t="s">
        <v>336</v>
      </c>
      <c r="G16" s="36">
        <v>906</v>
      </c>
      <c r="H16" s="37" t="s">
        <v>7</v>
      </c>
      <c r="I16" s="37" t="s">
        <v>21</v>
      </c>
      <c r="J16" s="37" t="s">
        <v>42</v>
      </c>
      <c r="K16" t="s">
        <v>20</v>
      </c>
    </row>
    <row r="17" spans="1:11" ht="21" x14ac:dyDescent="0.35">
      <c r="A17" s="38"/>
      <c r="B17" s="34">
        <v>45982</v>
      </c>
      <c r="C17" s="35" t="s">
        <v>343</v>
      </c>
      <c r="D17" s="35" t="s">
        <v>39</v>
      </c>
      <c r="E17" s="35" t="s">
        <v>36</v>
      </c>
      <c r="F17" s="35" t="s">
        <v>281</v>
      </c>
      <c r="G17" s="36">
        <v>795</v>
      </c>
      <c r="H17" s="37" t="s">
        <v>7</v>
      </c>
      <c r="I17" s="37" t="s">
        <v>21</v>
      </c>
      <c r="J17" s="37" t="s">
        <v>297</v>
      </c>
      <c r="K17" t="s">
        <v>20</v>
      </c>
    </row>
    <row r="18" spans="1:11" ht="21" x14ac:dyDescent="0.35">
      <c r="A18" s="38"/>
      <c r="B18" s="34">
        <v>45985</v>
      </c>
      <c r="C18" s="35" t="s">
        <v>343</v>
      </c>
      <c r="D18" s="35" t="s">
        <v>39</v>
      </c>
      <c r="E18" s="35" t="s">
        <v>36</v>
      </c>
      <c r="F18" s="35" t="s">
        <v>275</v>
      </c>
      <c r="G18" s="36">
        <v>1072.5</v>
      </c>
      <c r="H18" s="37" t="s">
        <v>7</v>
      </c>
      <c r="I18" s="37" t="s">
        <v>21</v>
      </c>
      <c r="J18" s="37" t="s">
        <v>90</v>
      </c>
      <c r="K18" t="s">
        <v>20</v>
      </c>
    </row>
    <row r="19" spans="1:11" ht="21" x14ac:dyDescent="0.35">
      <c r="A19" s="38"/>
      <c r="B19" s="34">
        <v>45982</v>
      </c>
      <c r="C19" s="35" t="s">
        <v>291</v>
      </c>
      <c r="D19" s="35" t="s">
        <v>39</v>
      </c>
      <c r="E19" s="35" t="s">
        <v>36</v>
      </c>
      <c r="F19" s="35" t="s">
        <v>281</v>
      </c>
      <c r="G19" s="36">
        <v>592.5</v>
      </c>
      <c r="H19" s="37" t="s">
        <v>7</v>
      </c>
      <c r="I19" s="37" t="s">
        <v>21</v>
      </c>
      <c r="J19" s="37" t="s">
        <v>90</v>
      </c>
      <c r="K19" t="s">
        <v>20</v>
      </c>
    </row>
    <row r="20" spans="1:11" ht="21" x14ac:dyDescent="0.35">
      <c r="A20" s="38"/>
      <c r="B20" s="34">
        <v>45982</v>
      </c>
      <c r="C20" s="35" t="s">
        <v>291</v>
      </c>
      <c r="D20" s="35" t="s">
        <v>39</v>
      </c>
      <c r="E20" s="35" t="s">
        <v>36</v>
      </c>
      <c r="F20" s="35" t="s">
        <v>279</v>
      </c>
      <c r="G20" s="36">
        <v>1007.5</v>
      </c>
      <c r="H20" s="37" t="s">
        <v>7</v>
      </c>
      <c r="I20" s="37" t="s">
        <v>21</v>
      </c>
      <c r="J20" s="37" t="s">
        <v>90</v>
      </c>
      <c r="K20" t="s">
        <v>20</v>
      </c>
    </row>
    <row r="21" spans="1:11" s="14" customFormat="1" ht="21" x14ac:dyDescent="0.35">
      <c r="A21" s="38"/>
      <c r="B21" s="34">
        <v>45982</v>
      </c>
      <c r="C21" s="35" t="s">
        <v>343</v>
      </c>
      <c r="D21" s="35" t="s">
        <v>39</v>
      </c>
      <c r="E21" s="35" t="s">
        <v>36</v>
      </c>
      <c r="F21" s="35" t="s">
        <v>282</v>
      </c>
      <c r="G21" s="36">
        <v>973.75</v>
      </c>
      <c r="H21" s="37" t="s">
        <v>7</v>
      </c>
      <c r="I21" s="37" t="s">
        <v>21</v>
      </c>
      <c r="J21" s="37" t="s">
        <v>392</v>
      </c>
      <c r="K21" s="14" t="s">
        <v>20</v>
      </c>
    </row>
    <row r="22" spans="1:11" ht="21" x14ac:dyDescent="0.35">
      <c r="A22" s="38"/>
      <c r="B22" s="34">
        <v>45984</v>
      </c>
      <c r="C22" s="35" t="s">
        <v>35</v>
      </c>
      <c r="D22" s="35" t="s">
        <v>17</v>
      </c>
      <c r="E22" s="35" t="s">
        <v>36</v>
      </c>
      <c r="F22" s="35" t="s">
        <v>278</v>
      </c>
      <c r="G22" s="36">
        <v>120</v>
      </c>
      <c r="H22" s="37" t="s">
        <v>7</v>
      </c>
      <c r="I22" s="37" t="s">
        <v>21</v>
      </c>
      <c r="J22" s="37" t="s">
        <v>13</v>
      </c>
      <c r="K22" t="s">
        <v>20</v>
      </c>
    </row>
    <row r="23" spans="1:11" s="14" customFormat="1" ht="21" x14ac:dyDescent="0.35">
      <c r="A23" s="38"/>
      <c r="B23" s="34">
        <v>45989</v>
      </c>
      <c r="C23" s="35" t="s">
        <v>424</v>
      </c>
      <c r="D23" s="35" t="s">
        <v>17</v>
      </c>
      <c r="E23" s="35" t="s">
        <v>36</v>
      </c>
      <c r="F23" s="35" t="s">
        <v>278</v>
      </c>
      <c r="G23" s="36">
        <v>430</v>
      </c>
      <c r="H23" s="37" t="s">
        <v>7</v>
      </c>
      <c r="I23" s="37" t="s">
        <v>21</v>
      </c>
      <c r="J23" s="37" t="s">
        <v>297</v>
      </c>
      <c r="K23" s="14" t="s">
        <v>20</v>
      </c>
    </row>
    <row r="24" spans="1:11" ht="21" x14ac:dyDescent="0.35">
      <c r="A24" s="38"/>
      <c r="B24" s="34">
        <v>45985</v>
      </c>
      <c r="C24" s="35" t="s">
        <v>311</v>
      </c>
      <c r="D24" s="35" t="s">
        <v>17</v>
      </c>
      <c r="E24" s="35" t="s">
        <v>36</v>
      </c>
      <c r="F24" s="35" t="s">
        <v>288</v>
      </c>
      <c r="G24" s="36">
        <v>575.01</v>
      </c>
      <c r="H24" s="37" t="s">
        <v>7</v>
      </c>
      <c r="I24" s="37" t="s">
        <v>21</v>
      </c>
      <c r="J24" s="37" t="s">
        <v>297</v>
      </c>
      <c r="K24" t="s">
        <v>20</v>
      </c>
    </row>
    <row r="25" spans="1:11" ht="21" x14ac:dyDescent="0.35">
      <c r="A25" s="38"/>
      <c r="B25" s="34"/>
      <c r="C25" s="35"/>
      <c r="D25" s="35"/>
      <c r="E25" s="35"/>
      <c r="F25" s="35"/>
      <c r="G25" s="36"/>
      <c r="H25" s="37"/>
      <c r="I25" s="37"/>
      <c r="J25" s="37"/>
    </row>
    <row r="26" spans="1:11" ht="21" x14ac:dyDescent="0.35">
      <c r="A26" s="38"/>
      <c r="B26" s="34"/>
      <c r="C26" s="35"/>
      <c r="D26" s="35"/>
      <c r="E26" s="35"/>
      <c r="F26" s="35"/>
      <c r="G26" s="36"/>
      <c r="H26" s="37"/>
      <c r="I26" s="37"/>
      <c r="J26" s="37"/>
    </row>
    <row r="27" spans="1:11" ht="21" x14ac:dyDescent="0.35">
      <c r="A27" s="38"/>
      <c r="B27" s="34"/>
      <c r="C27" s="45" t="s">
        <v>8</v>
      </c>
      <c r="D27" s="45"/>
      <c r="E27" s="45"/>
      <c r="F27" s="45"/>
      <c r="G27" s="43">
        <f>SUM(G3:G24)</f>
        <v>19716.2</v>
      </c>
      <c r="H27" s="37"/>
      <c r="I27" s="37"/>
      <c r="J27" s="37"/>
    </row>
    <row r="28" spans="1:11" ht="21" x14ac:dyDescent="0.35">
      <c r="A28" s="70" t="s">
        <v>17</v>
      </c>
      <c r="B28" s="71"/>
      <c r="C28" s="71"/>
      <c r="D28" s="71"/>
      <c r="E28" s="71"/>
      <c r="F28" s="71"/>
      <c r="G28" s="71"/>
      <c r="H28" s="72"/>
      <c r="I28" s="65"/>
      <c r="J28" s="39"/>
    </row>
    <row r="29" spans="1:11" ht="21" x14ac:dyDescent="0.35">
      <c r="A29" s="55" t="s">
        <v>0</v>
      </c>
      <c r="B29" s="40" t="s">
        <v>1</v>
      </c>
      <c r="C29" s="40" t="s">
        <v>2</v>
      </c>
      <c r="D29" s="40" t="s">
        <v>31</v>
      </c>
      <c r="E29" s="40" t="s">
        <v>32</v>
      </c>
      <c r="F29" s="32" t="s">
        <v>273</v>
      </c>
      <c r="G29" s="40" t="s">
        <v>3</v>
      </c>
      <c r="H29" s="40" t="s">
        <v>4</v>
      </c>
      <c r="I29" s="41" t="s">
        <v>5</v>
      </c>
      <c r="J29" s="42" t="s">
        <v>6</v>
      </c>
    </row>
    <row r="30" spans="1:11" ht="21" x14ac:dyDescent="0.35">
      <c r="A30" s="62"/>
      <c r="B30" s="51">
        <v>45964</v>
      </c>
      <c r="C30" s="52" t="s">
        <v>374</v>
      </c>
      <c r="D30" s="52" t="s">
        <v>41</v>
      </c>
      <c r="E30" s="52" t="s">
        <v>36</v>
      </c>
      <c r="F30" s="64" t="s">
        <v>77</v>
      </c>
      <c r="G30" s="54">
        <v>5000</v>
      </c>
      <c r="H30" s="37" t="s">
        <v>7</v>
      </c>
      <c r="I30" s="44" t="s">
        <v>46</v>
      </c>
      <c r="J30" s="49" t="s">
        <v>50</v>
      </c>
      <c r="K30" t="s">
        <v>20</v>
      </c>
    </row>
    <row r="31" spans="1:11" ht="21" x14ac:dyDescent="0.35">
      <c r="A31" s="48"/>
      <c r="B31" s="34">
        <v>45964</v>
      </c>
      <c r="C31" s="35" t="s">
        <v>290</v>
      </c>
      <c r="D31" s="35" t="s">
        <v>37</v>
      </c>
      <c r="E31" s="35" t="s">
        <v>36</v>
      </c>
      <c r="F31" s="35" t="s">
        <v>275</v>
      </c>
      <c r="G31" s="36">
        <v>377.75</v>
      </c>
      <c r="H31" s="37" t="s">
        <v>7</v>
      </c>
      <c r="I31" s="37" t="s">
        <v>21</v>
      </c>
      <c r="J31" s="37" t="s">
        <v>26</v>
      </c>
      <c r="K31" t="s">
        <v>87</v>
      </c>
    </row>
    <row r="32" spans="1:11" ht="21" x14ac:dyDescent="0.35">
      <c r="A32" s="48"/>
      <c r="B32" s="34">
        <v>45966</v>
      </c>
      <c r="C32" s="35" t="s">
        <v>397</v>
      </c>
      <c r="D32" s="35" t="s">
        <v>37</v>
      </c>
      <c r="E32" s="35" t="s">
        <v>36</v>
      </c>
      <c r="F32" s="35" t="s">
        <v>278</v>
      </c>
      <c r="G32" s="36">
        <v>503.85</v>
      </c>
      <c r="H32" s="37" t="s">
        <v>7</v>
      </c>
      <c r="I32" s="37" t="s">
        <v>23</v>
      </c>
      <c r="J32" s="37" t="s">
        <v>297</v>
      </c>
      <c r="K32" t="s">
        <v>20</v>
      </c>
    </row>
    <row r="33" spans="1:11" ht="21" x14ac:dyDescent="0.35">
      <c r="A33" s="48"/>
      <c r="B33" s="34">
        <v>45966</v>
      </c>
      <c r="C33" s="35" t="s">
        <v>398</v>
      </c>
      <c r="D33" s="35" t="s">
        <v>345</v>
      </c>
      <c r="E33" s="35" t="s">
        <v>36</v>
      </c>
      <c r="F33" s="35" t="s">
        <v>278</v>
      </c>
      <c r="G33" s="36">
        <v>1500</v>
      </c>
      <c r="H33" s="37" t="s">
        <v>7</v>
      </c>
      <c r="I33" s="37" t="s">
        <v>23</v>
      </c>
      <c r="J33" s="37" t="s">
        <v>297</v>
      </c>
      <c r="K33" t="s">
        <v>20</v>
      </c>
    </row>
    <row r="34" spans="1:11" ht="21" x14ac:dyDescent="0.35">
      <c r="A34" s="48"/>
      <c r="B34" s="34">
        <v>45965</v>
      </c>
      <c r="C34" s="35" t="s">
        <v>299</v>
      </c>
      <c r="D34" s="35" t="s">
        <v>41</v>
      </c>
      <c r="E34" s="35" t="s">
        <v>36</v>
      </c>
      <c r="F34" s="35" t="s">
        <v>276</v>
      </c>
      <c r="G34" s="36">
        <v>901.5</v>
      </c>
      <c r="H34" s="37" t="s">
        <v>7</v>
      </c>
      <c r="I34" s="37" t="s">
        <v>23</v>
      </c>
      <c r="J34" s="37" t="s">
        <v>24</v>
      </c>
      <c r="K34" t="s">
        <v>20</v>
      </c>
    </row>
    <row r="35" spans="1:11" ht="21" x14ac:dyDescent="0.35">
      <c r="A35" s="48"/>
      <c r="B35" s="34">
        <v>45964</v>
      </c>
      <c r="C35" s="35" t="s">
        <v>295</v>
      </c>
      <c r="D35" s="35" t="s">
        <v>37</v>
      </c>
      <c r="E35" s="35" t="s">
        <v>36</v>
      </c>
      <c r="F35" s="35" t="s">
        <v>284</v>
      </c>
      <c r="G35" s="36">
        <v>700</v>
      </c>
      <c r="H35" s="37" t="s">
        <v>7</v>
      </c>
      <c r="I35" s="37" t="s">
        <v>21</v>
      </c>
      <c r="J35" s="37" t="s">
        <v>11</v>
      </c>
      <c r="K35" t="s">
        <v>20</v>
      </c>
    </row>
    <row r="36" spans="1:11" ht="21" x14ac:dyDescent="0.35">
      <c r="A36" s="48"/>
      <c r="B36" s="34">
        <v>45964</v>
      </c>
      <c r="C36" s="35" t="s">
        <v>290</v>
      </c>
      <c r="D36" s="35" t="s">
        <v>37</v>
      </c>
      <c r="E36" s="35" t="s">
        <v>36</v>
      </c>
      <c r="F36" s="35" t="s">
        <v>279</v>
      </c>
      <c r="G36" s="36">
        <v>611.25</v>
      </c>
      <c r="H36" s="37" t="s">
        <v>7</v>
      </c>
      <c r="I36" s="37" t="s">
        <v>21</v>
      </c>
      <c r="J36" s="37" t="s">
        <v>201</v>
      </c>
      <c r="K36" t="s">
        <v>20</v>
      </c>
    </row>
    <row r="37" spans="1:11" ht="21" x14ac:dyDescent="0.35">
      <c r="A37" s="48"/>
      <c r="B37" s="34">
        <v>45967</v>
      </c>
      <c r="C37" s="35" t="s">
        <v>47</v>
      </c>
      <c r="D37" s="35" t="s">
        <v>37</v>
      </c>
      <c r="E37" s="35" t="s">
        <v>36</v>
      </c>
      <c r="F37" s="35" t="s">
        <v>282</v>
      </c>
      <c r="G37" s="36">
        <v>155.63</v>
      </c>
      <c r="H37" s="37" t="s">
        <v>7</v>
      </c>
      <c r="I37" s="37" t="s">
        <v>23</v>
      </c>
      <c r="J37" s="37" t="s">
        <v>219</v>
      </c>
      <c r="K37" t="s">
        <v>20</v>
      </c>
    </row>
    <row r="38" spans="1:11" ht="21" x14ac:dyDescent="0.35">
      <c r="A38" s="48"/>
      <c r="B38" s="34">
        <v>45967</v>
      </c>
      <c r="C38" s="35" t="s">
        <v>399</v>
      </c>
      <c r="D38" s="35" t="s">
        <v>61</v>
      </c>
      <c r="E38" s="35" t="s">
        <v>36</v>
      </c>
      <c r="F38" s="35" t="s">
        <v>288</v>
      </c>
      <c r="G38" s="36">
        <v>1300</v>
      </c>
      <c r="H38" s="37" t="s">
        <v>7</v>
      </c>
      <c r="I38" s="37" t="s">
        <v>46</v>
      </c>
      <c r="J38" s="37" t="s">
        <v>22</v>
      </c>
      <c r="K38" t="s">
        <v>20</v>
      </c>
    </row>
    <row r="39" spans="1:11" ht="21" x14ac:dyDescent="0.35">
      <c r="A39" s="48"/>
      <c r="B39" s="34">
        <v>45968</v>
      </c>
      <c r="C39" s="35" t="s">
        <v>400</v>
      </c>
      <c r="D39" s="35" t="s">
        <v>41</v>
      </c>
      <c r="E39" s="35" t="s">
        <v>36</v>
      </c>
      <c r="F39" s="35" t="s">
        <v>284</v>
      </c>
      <c r="G39" s="36">
        <v>1035</v>
      </c>
      <c r="H39" s="37" t="s">
        <v>7</v>
      </c>
      <c r="I39" s="37" t="s">
        <v>21</v>
      </c>
      <c r="J39" s="37" t="s">
        <v>16</v>
      </c>
      <c r="K39" t="s">
        <v>20</v>
      </c>
    </row>
    <row r="40" spans="1:11" ht="21" x14ac:dyDescent="0.35">
      <c r="A40" s="48"/>
      <c r="B40" s="34">
        <v>45968</v>
      </c>
      <c r="C40" s="35" t="s">
        <v>385</v>
      </c>
      <c r="D40" s="35" t="s">
        <v>37</v>
      </c>
      <c r="E40" s="35" t="s">
        <v>36</v>
      </c>
      <c r="F40" s="35" t="s">
        <v>288</v>
      </c>
      <c r="G40" s="36">
        <v>296.68</v>
      </c>
      <c r="H40" s="37" t="s">
        <v>7</v>
      </c>
      <c r="I40" s="37" t="s">
        <v>21</v>
      </c>
      <c r="J40" s="37" t="s">
        <v>26</v>
      </c>
      <c r="K40" t="s">
        <v>20</v>
      </c>
    </row>
    <row r="41" spans="1:11" s="14" customFormat="1" ht="21" x14ac:dyDescent="0.35">
      <c r="A41" s="48"/>
      <c r="B41" s="34">
        <v>45971</v>
      </c>
      <c r="C41" s="35" t="s">
        <v>385</v>
      </c>
      <c r="D41" s="35" t="s">
        <v>37</v>
      </c>
      <c r="E41" s="35" t="s">
        <v>36</v>
      </c>
      <c r="F41" s="35" t="s">
        <v>276</v>
      </c>
      <c r="G41" s="36">
        <v>291.25</v>
      </c>
      <c r="H41" s="37" t="s">
        <v>7</v>
      </c>
      <c r="I41" s="37" t="s">
        <v>21</v>
      </c>
      <c r="J41" s="37" t="s">
        <v>26</v>
      </c>
      <c r="K41" s="14" t="s">
        <v>20</v>
      </c>
    </row>
    <row r="42" spans="1:11" ht="21" x14ac:dyDescent="0.35">
      <c r="A42" s="48"/>
      <c r="B42" s="34">
        <v>45971</v>
      </c>
      <c r="C42" s="35" t="s">
        <v>305</v>
      </c>
      <c r="D42" s="35" t="s">
        <v>40</v>
      </c>
      <c r="E42" s="35" t="s">
        <v>36</v>
      </c>
      <c r="F42" s="35" t="s">
        <v>285</v>
      </c>
      <c r="G42" s="36">
        <v>526.66</v>
      </c>
      <c r="H42" s="37" t="s">
        <v>7</v>
      </c>
      <c r="I42" s="37" t="s">
        <v>46</v>
      </c>
      <c r="J42" s="37" t="s">
        <v>9</v>
      </c>
      <c r="K42" t="s">
        <v>20</v>
      </c>
    </row>
    <row r="43" spans="1:11" s="14" customFormat="1" ht="21" x14ac:dyDescent="0.35">
      <c r="A43" s="48"/>
      <c r="B43" s="34">
        <v>45971</v>
      </c>
      <c r="C43" s="35" t="s">
        <v>402</v>
      </c>
      <c r="D43" s="35" t="s">
        <v>40</v>
      </c>
      <c r="E43" s="35" t="s">
        <v>36</v>
      </c>
      <c r="F43" s="35" t="s">
        <v>285</v>
      </c>
      <c r="G43" s="36">
        <v>400</v>
      </c>
      <c r="H43" s="37" t="s">
        <v>7</v>
      </c>
      <c r="I43" s="37" t="s">
        <v>46</v>
      </c>
      <c r="J43" s="37" t="s">
        <v>28</v>
      </c>
      <c r="K43" s="14" t="s">
        <v>20</v>
      </c>
    </row>
    <row r="44" spans="1:11" ht="21" x14ac:dyDescent="0.35">
      <c r="A44" s="48"/>
      <c r="B44" s="34">
        <v>45971</v>
      </c>
      <c r="C44" s="35" t="s">
        <v>290</v>
      </c>
      <c r="D44" s="35" t="s">
        <v>37</v>
      </c>
      <c r="E44" s="35" t="s">
        <v>36</v>
      </c>
      <c r="F44" s="35" t="s">
        <v>279</v>
      </c>
      <c r="G44" s="36">
        <v>571.5</v>
      </c>
      <c r="H44" s="37" t="s">
        <v>7</v>
      </c>
      <c r="I44" s="35" t="s">
        <v>21</v>
      </c>
      <c r="J44" s="37" t="s">
        <v>11</v>
      </c>
      <c r="K44" t="s">
        <v>20</v>
      </c>
    </row>
    <row r="45" spans="1:11" ht="21" x14ac:dyDescent="0.35">
      <c r="A45" s="48"/>
      <c r="B45" s="34">
        <v>45971</v>
      </c>
      <c r="C45" s="35" t="s">
        <v>401</v>
      </c>
      <c r="D45" s="35" t="s">
        <v>61</v>
      </c>
      <c r="E45" s="35" t="s">
        <v>36</v>
      </c>
      <c r="F45" s="35" t="s">
        <v>294</v>
      </c>
      <c r="G45" s="36">
        <v>1374</v>
      </c>
      <c r="H45" s="37" t="s">
        <v>7</v>
      </c>
      <c r="I45" s="35" t="s">
        <v>21</v>
      </c>
      <c r="J45" s="37" t="s">
        <v>9</v>
      </c>
      <c r="K45" t="s">
        <v>20</v>
      </c>
    </row>
    <row r="46" spans="1:11" ht="21" x14ac:dyDescent="0.35">
      <c r="A46" s="48"/>
      <c r="B46" s="34">
        <v>45972</v>
      </c>
      <c r="C46" s="35" t="s">
        <v>309</v>
      </c>
      <c r="D46" s="35" t="s">
        <v>61</v>
      </c>
      <c r="E46" s="35" t="s">
        <v>36</v>
      </c>
      <c r="F46" s="35" t="s">
        <v>285</v>
      </c>
      <c r="G46" s="36">
        <v>500</v>
      </c>
      <c r="H46" s="37" t="s">
        <v>7</v>
      </c>
      <c r="I46" s="35" t="s">
        <v>21</v>
      </c>
      <c r="J46" s="37" t="s">
        <v>11</v>
      </c>
      <c r="K46" t="s">
        <v>20</v>
      </c>
    </row>
    <row r="47" spans="1:11" ht="21" x14ac:dyDescent="0.35">
      <c r="A47" s="48"/>
      <c r="B47" s="34">
        <v>45972</v>
      </c>
      <c r="C47" s="35" t="s">
        <v>310</v>
      </c>
      <c r="D47" s="35" t="s">
        <v>41</v>
      </c>
      <c r="E47" s="35" t="s">
        <v>36</v>
      </c>
      <c r="F47" s="35" t="s">
        <v>281</v>
      </c>
      <c r="G47" s="36">
        <v>1962.5</v>
      </c>
      <c r="H47" s="37" t="s">
        <v>7</v>
      </c>
      <c r="I47" s="35" t="s">
        <v>21</v>
      </c>
      <c r="J47" s="37" t="s">
        <v>28</v>
      </c>
      <c r="K47" t="s">
        <v>20</v>
      </c>
    </row>
    <row r="48" spans="1:11" ht="21" x14ac:dyDescent="0.35">
      <c r="A48" s="48"/>
      <c r="B48" s="34">
        <v>45973</v>
      </c>
      <c r="C48" s="35" t="s">
        <v>404</v>
      </c>
      <c r="D48" s="35" t="s">
        <v>41</v>
      </c>
      <c r="E48" s="35" t="s">
        <v>36</v>
      </c>
      <c r="F48" s="35" t="s">
        <v>278</v>
      </c>
      <c r="G48" s="36">
        <v>886</v>
      </c>
      <c r="H48" s="37" t="s">
        <v>7</v>
      </c>
      <c r="I48" s="35" t="s">
        <v>21</v>
      </c>
      <c r="J48" s="37" t="s">
        <v>219</v>
      </c>
      <c r="K48" t="s">
        <v>20</v>
      </c>
    </row>
    <row r="49" spans="1:11" ht="21" x14ac:dyDescent="0.35">
      <c r="A49" s="48"/>
      <c r="B49" s="34">
        <v>45971</v>
      </c>
      <c r="C49" s="35" t="s">
        <v>47</v>
      </c>
      <c r="D49" s="35" t="s">
        <v>37</v>
      </c>
      <c r="E49" s="35" t="s">
        <v>36</v>
      </c>
      <c r="F49" s="35" t="s">
        <v>281</v>
      </c>
      <c r="G49" s="36">
        <v>570.75</v>
      </c>
      <c r="H49" s="37" t="s">
        <v>7</v>
      </c>
      <c r="I49" s="35" t="s">
        <v>21</v>
      </c>
      <c r="J49" s="37" t="s">
        <v>11</v>
      </c>
      <c r="K49" t="s">
        <v>20</v>
      </c>
    </row>
    <row r="50" spans="1:11" s="14" customFormat="1" ht="21" x14ac:dyDescent="0.35">
      <c r="A50" s="48"/>
      <c r="B50" s="34">
        <v>45972</v>
      </c>
      <c r="C50" s="35" t="s">
        <v>403</v>
      </c>
      <c r="D50" s="35" t="s">
        <v>61</v>
      </c>
      <c r="E50" s="35" t="s">
        <v>36</v>
      </c>
      <c r="F50" s="35" t="s">
        <v>278</v>
      </c>
      <c r="G50" s="36">
        <v>200</v>
      </c>
      <c r="H50" s="37" t="s">
        <v>7</v>
      </c>
      <c r="I50" s="35" t="s">
        <v>21</v>
      </c>
      <c r="J50" s="37" t="s">
        <v>9</v>
      </c>
      <c r="K50" s="14" t="s">
        <v>20</v>
      </c>
    </row>
    <row r="51" spans="1:11" ht="21" x14ac:dyDescent="0.35">
      <c r="A51" s="48"/>
      <c r="B51" s="34">
        <v>45974</v>
      </c>
      <c r="C51" s="35" t="s">
        <v>405</v>
      </c>
      <c r="D51" s="35" t="s">
        <v>61</v>
      </c>
      <c r="E51" s="35" t="s">
        <v>36</v>
      </c>
      <c r="F51" s="35" t="s">
        <v>278</v>
      </c>
      <c r="G51" s="36">
        <v>825</v>
      </c>
      <c r="H51" s="37" t="s">
        <v>7</v>
      </c>
      <c r="I51" s="35" t="s">
        <v>21</v>
      </c>
      <c r="J51" s="37" t="s">
        <v>11</v>
      </c>
      <c r="K51" t="s">
        <v>20</v>
      </c>
    </row>
    <row r="52" spans="1:11" ht="21" x14ac:dyDescent="0.35">
      <c r="A52" s="48"/>
      <c r="B52" s="34">
        <v>45975</v>
      </c>
      <c r="C52" s="35" t="s">
        <v>63</v>
      </c>
      <c r="D52" s="35" t="s">
        <v>37</v>
      </c>
      <c r="E52" s="35" t="s">
        <v>36</v>
      </c>
      <c r="F52" s="35" t="s">
        <v>279</v>
      </c>
      <c r="G52" s="36">
        <v>501.62</v>
      </c>
      <c r="H52" s="37" t="s">
        <v>7</v>
      </c>
      <c r="I52" s="35" t="s">
        <v>21</v>
      </c>
      <c r="J52" s="37" t="s">
        <v>26</v>
      </c>
      <c r="K52" t="s">
        <v>20</v>
      </c>
    </row>
    <row r="53" spans="1:11" ht="21" x14ac:dyDescent="0.35">
      <c r="A53" s="48"/>
      <c r="B53" s="34">
        <v>45975</v>
      </c>
      <c r="C53" s="35" t="s">
        <v>309</v>
      </c>
      <c r="D53" s="35" t="s">
        <v>61</v>
      </c>
      <c r="E53" s="35" t="s">
        <v>36</v>
      </c>
      <c r="F53" s="35" t="s">
        <v>278</v>
      </c>
      <c r="G53" s="36">
        <v>680</v>
      </c>
      <c r="H53" s="37" t="s">
        <v>7</v>
      </c>
      <c r="I53" s="35" t="s">
        <v>131</v>
      </c>
      <c r="J53" s="37" t="s">
        <v>11</v>
      </c>
      <c r="K53" t="s">
        <v>20</v>
      </c>
    </row>
    <row r="54" spans="1:11" ht="21" x14ac:dyDescent="0.35">
      <c r="A54" s="48"/>
      <c r="B54" s="34">
        <v>45975</v>
      </c>
      <c r="C54" s="35" t="s">
        <v>406</v>
      </c>
      <c r="D54" s="35" t="s">
        <v>37</v>
      </c>
      <c r="E54" s="35" t="s">
        <v>36</v>
      </c>
      <c r="F54" s="35" t="s">
        <v>285</v>
      </c>
      <c r="G54" s="36">
        <v>820</v>
      </c>
      <c r="H54" s="37" t="s">
        <v>7</v>
      </c>
      <c r="I54" s="35" t="s">
        <v>21</v>
      </c>
      <c r="J54" s="37" t="s">
        <v>11</v>
      </c>
      <c r="K54" t="s">
        <v>20</v>
      </c>
    </row>
    <row r="55" spans="1:11" ht="21" x14ac:dyDescent="0.35">
      <c r="A55" s="48"/>
      <c r="B55" s="34">
        <v>45974</v>
      </c>
      <c r="C55" s="35" t="s">
        <v>317</v>
      </c>
      <c r="D55" s="35" t="s">
        <v>41</v>
      </c>
      <c r="E55" s="35" t="s">
        <v>36</v>
      </c>
      <c r="F55" s="35" t="s">
        <v>279</v>
      </c>
      <c r="G55" s="36">
        <v>2050</v>
      </c>
      <c r="H55" s="37" t="s">
        <v>7</v>
      </c>
      <c r="I55" s="35" t="s">
        <v>21</v>
      </c>
      <c r="J55" s="37" t="s">
        <v>45</v>
      </c>
      <c r="K55" t="s">
        <v>20</v>
      </c>
    </row>
    <row r="56" spans="1:11" ht="21" x14ac:dyDescent="0.35">
      <c r="A56" s="48"/>
      <c r="B56" s="34">
        <v>45975</v>
      </c>
      <c r="C56" s="35" t="s">
        <v>407</v>
      </c>
      <c r="D56" s="35" t="s">
        <v>41</v>
      </c>
      <c r="E56" s="35" t="s">
        <v>36</v>
      </c>
      <c r="F56" s="35" t="s">
        <v>278</v>
      </c>
      <c r="G56" s="36">
        <v>658.8</v>
      </c>
      <c r="H56" s="37" t="s">
        <v>7</v>
      </c>
      <c r="I56" s="35" t="s">
        <v>21</v>
      </c>
      <c r="J56" s="37" t="s">
        <v>16</v>
      </c>
      <c r="K56" t="s">
        <v>20</v>
      </c>
    </row>
    <row r="57" spans="1:11" ht="21" x14ac:dyDescent="0.35">
      <c r="A57" s="48"/>
      <c r="B57" s="34">
        <v>45975</v>
      </c>
      <c r="C57" s="35" t="s">
        <v>47</v>
      </c>
      <c r="D57" s="35" t="s">
        <v>37</v>
      </c>
      <c r="E57" s="35" t="s">
        <v>36</v>
      </c>
      <c r="F57" s="35" t="s">
        <v>285</v>
      </c>
      <c r="G57" s="36">
        <v>323.99</v>
      </c>
      <c r="H57" s="37" t="s">
        <v>7</v>
      </c>
      <c r="I57" s="35" t="s">
        <v>21</v>
      </c>
      <c r="J57" s="37" t="s">
        <v>319</v>
      </c>
      <c r="K57" t="s">
        <v>20</v>
      </c>
    </row>
    <row r="58" spans="1:11" ht="21" x14ac:dyDescent="0.35">
      <c r="A58" s="48"/>
      <c r="B58" s="34">
        <v>45978</v>
      </c>
      <c r="C58" s="35" t="s">
        <v>325</v>
      </c>
      <c r="D58" s="35" t="s">
        <v>37</v>
      </c>
      <c r="E58" s="35" t="s">
        <v>36</v>
      </c>
      <c r="F58" s="35" t="s">
        <v>279</v>
      </c>
      <c r="G58" s="36">
        <v>957.25</v>
      </c>
      <c r="H58" s="37" t="s">
        <v>7</v>
      </c>
      <c r="I58" s="35" t="s">
        <v>21</v>
      </c>
      <c r="J58" s="37" t="s">
        <v>24</v>
      </c>
      <c r="K58" t="s">
        <v>20</v>
      </c>
    </row>
    <row r="59" spans="1:11" ht="21" x14ac:dyDescent="0.35">
      <c r="A59" s="48"/>
      <c r="B59" s="34">
        <v>45975</v>
      </c>
      <c r="C59" s="35" t="s">
        <v>408</v>
      </c>
      <c r="D59" s="35" t="s">
        <v>61</v>
      </c>
      <c r="E59" s="35" t="s">
        <v>36</v>
      </c>
      <c r="F59" s="35" t="s">
        <v>288</v>
      </c>
      <c r="G59" s="36">
        <v>525</v>
      </c>
      <c r="H59" s="37" t="s">
        <v>7</v>
      </c>
      <c r="I59" s="35" t="s">
        <v>21</v>
      </c>
      <c r="J59" s="37" t="s">
        <v>22</v>
      </c>
      <c r="K59" t="s">
        <v>20</v>
      </c>
    </row>
    <row r="60" spans="1:11" ht="21" x14ac:dyDescent="0.35">
      <c r="A60" s="48"/>
      <c r="B60" s="34">
        <v>45975</v>
      </c>
      <c r="C60" s="35" t="s">
        <v>409</v>
      </c>
      <c r="D60" s="35" t="s">
        <v>410</v>
      </c>
      <c r="E60" s="35" t="s">
        <v>36</v>
      </c>
      <c r="F60" s="35" t="s">
        <v>278</v>
      </c>
      <c r="G60" s="36">
        <v>200</v>
      </c>
      <c r="H60" s="37" t="s">
        <v>7</v>
      </c>
      <c r="I60" s="35" t="s">
        <v>21</v>
      </c>
      <c r="J60" s="37"/>
      <c r="K60" t="s">
        <v>20</v>
      </c>
    </row>
    <row r="61" spans="1:11" ht="21" x14ac:dyDescent="0.35">
      <c r="A61" s="48"/>
      <c r="B61" s="34">
        <v>45978</v>
      </c>
      <c r="C61" s="35" t="s">
        <v>290</v>
      </c>
      <c r="D61" s="35" t="s">
        <v>37</v>
      </c>
      <c r="E61" s="35" t="s">
        <v>36</v>
      </c>
      <c r="F61" s="35" t="s">
        <v>275</v>
      </c>
      <c r="G61" s="36">
        <v>496.75</v>
      </c>
      <c r="H61" s="37" t="s">
        <v>7</v>
      </c>
      <c r="I61" s="35" t="s">
        <v>21</v>
      </c>
      <c r="J61" s="37" t="s">
        <v>297</v>
      </c>
      <c r="K61" t="s">
        <v>20</v>
      </c>
    </row>
    <row r="62" spans="1:11" ht="21" x14ac:dyDescent="0.35">
      <c r="A62" s="48"/>
      <c r="B62" s="34">
        <v>45978</v>
      </c>
      <c r="C62" s="35" t="s">
        <v>274</v>
      </c>
      <c r="D62" s="35" t="s">
        <v>37</v>
      </c>
      <c r="E62" s="35" t="s">
        <v>36</v>
      </c>
      <c r="F62" s="35" t="s">
        <v>276</v>
      </c>
      <c r="G62" s="36">
        <v>250</v>
      </c>
      <c r="H62" s="37" t="s">
        <v>7</v>
      </c>
      <c r="I62" s="35" t="s">
        <v>21</v>
      </c>
      <c r="J62" s="37" t="s">
        <v>9</v>
      </c>
      <c r="K62" t="s">
        <v>20</v>
      </c>
    </row>
    <row r="63" spans="1:11" ht="21" x14ac:dyDescent="0.35">
      <c r="A63" s="48"/>
      <c r="B63" s="34">
        <v>45979</v>
      </c>
      <c r="C63" s="35" t="s">
        <v>328</v>
      </c>
      <c r="D63" s="35" t="s">
        <v>61</v>
      </c>
      <c r="E63" s="35" t="s">
        <v>36</v>
      </c>
      <c r="F63" s="35" t="s">
        <v>276</v>
      </c>
      <c r="G63" s="36">
        <v>766</v>
      </c>
      <c r="H63" s="37" t="s">
        <v>7</v>
      </c>
      <c r="I63" s="35" t="s">
        <v>23</v>
      </c>
      <c r="J63" s="37" t="s">
        <v>13</v>
      </c>
      <c r="K63" t="s">
        <v>20</v>
      </c>
    </row>
    <row r="64" spans="1:11" ht="21" x14ac:dyDescent="0.35">
      <c r="A64" s="48"/>
      <c r="B64" s="34">
        <v>45978</v>
      </c>
      <c r="C64" s="35" t="s">
        <v>411</v>
      </c>
      <c r="D64" s="35" t="s">
        <v>61</v>
      </c>
      <c r="E64" s="35" t="s">
        <v>36</v>
      </c>
      <c r="F64" s="35" t="s">
        <v>278</v>
      </c>
      <c r="G64" s="36">
        <v>132</v>
      </c>
      <c r="H64" s="37" t="s">
        <v>7</v>
      </c>
      <c r="I64" s="37" t="s">
        <v>21</v>
      </c>
      <c r="J64" s="37" t="s">
        <v>10</v>
      </c>
      <c r="K64" t="s">
        <v>20</v>
      </c>
    </row>
    <row r="65" spans="1:11" ht="21" x14ac:dyDescent="0.35">
      <c r="A65" s="48"/>
      <c r="B65" s="34">
        <v>45978</v>
      </c>
      <c r="C65" s="35" t="s">
        <v>290</v>
      </c>
      <c r="D65" s="35" t="s">
        <v>37</v>
      </c>
      <c r="E65" s="35" t="s">
        <v>36</v>
      </c>
      <c r="F65" s="35" t="s">
        <v>294</v>
      </c>
      <c r="G65" s="36">
        <v>150</v>
      </c>
      <c r="H65" s="37" t="s">
        <v>7</v>
      </c>
      <c r="I65" s="35" t="s">
        <v>21</v>
      </c>
      <c r="J65" s="37" t="s">
        <v>297</v>
      </c>
      <c r="K65" t="s">
        <v>20</v>
      </c>
    </row>
    <row r="66" spans="1:11" ht="21" x14ac:dyDescent="0.35">
      <c r="A66" s="48"/>
      <c r="B66" s="34">
        <v>45978</v>
      </c>
      <c r="C66" s="35" t="s">
        <v>412</v>
      </c>
      <c r="D66" s="35" t="s">
        <v>37</v>
      </c>
      <c r="E66" s="35" t="s">
        <v>36</v>
      </c>
      <c r="F66" s="35" t="s">
        <v>294</v>
      </c>
      <c r="G66" s="36">
        <v>340</v>
      </c>
      <c r="H66" s="37" t="s">
        <v>7</v>
      </c>
      <c r="I66" s="35" t="s">
        <v>21</v>
      </c>
      <c r="J66" s="37" t="s">
        <v>45</v>
      </c>
      <c r="K66" t="s">
        <v>20</v>
      </c>
    </row>
    <row r="67" spans="1:11" s="14" customFormat="1" ht="21" x14ac:dyDescent="0.35">
      <c r="A67" s="48"/>
      <c r="B67" s="34">
        <v>45978</v>
      </c>
      <c r="C67" s="35" t="s">
        <v>298</v>
      </c>
      <c r="D67" s="35" t="s">
        <v>37</v>
      </c>
      <c r="E67" s="35" t="s">
        <v>36</v>
      </c>
      <c r="F67" s="35" t="s">
        <v>294</v>
      </c>
      <c r="G67" s="36">
        <v>516.67999999999995</v>
      </c>
      <c r="H67" s="37" t="s">
        <v>7</v>
      </c>
      <c r="I67" s="35" t="s">
        <v>21</v>
      </c>
      <c r="J67" s="37" t="s">
        <v>11</v>
      </c>
      <c r="K67" s="14" t="s">
        <v>20</v>
      </c>
    </row>
    <row r="68" spans="1:11" s="14" customFormat="1" ht="21" x14ac:dyDescent="0.35">
      <c r="A68" s="48"/>
      <c r="B68" s="34">
        <v>45978</v>
      </c>
      <c r="C68" s="35" t="s">
        <v>47</v>
      </c>
      <c r="D68" s="35" t="s">
        <v>37</v>
      </c>
      <c r="E68" s="35" t="s">
        <v>36</v>
      </c>
      <c r="F68" s="35" t="s">
        <v>282</v>
      </c>
      <c r="G68" s="36">
        <v>733.9</v>
      </c>
      <c r="H68" s="37" t="s">
        <v>7</v>
      </c>
      <c r="I68" s="35" t="s">
        <v>23</v>
      </c>
      <c r="J68" s="37" t="s">
        <v>384</v>
      </c>
      <c r="K68" s="14" t="s">
        <v>20</v>
      </c>
    </row>
    <row r="69" spans="1:11" ht="21" x14ac:dyDescent="0.35">
      <c r="A69" s="48"/>
      <c r="B69" s="34">
        <v>45980</v>
      </c>
      <c r="C69" s="35" t="s">
        <v>330</v>
      </c>
      <c r="D69" s="35" t="s">
        <v>37</v>
      </c>
      <c r="E69" s="35" t="s">
        <v>36</v>
      </c>
      <c r="F69" s="35" t="s">
        <v>275</v>
      </c>
      <c r="G69" s="36">
        <v>217.25</v>
      </c>
      <c r="H69" s="37" t="s">
        <v>7</v>
      </c>
      <c r="I69" s="35" t="s">
        <v>23</v>
      </c>
      <c r="J69" s="37" t="s">
        <v>26</v>
      </c>
      <c r="K69" t="s">
        <v>20</v>
      </c>
    </row>
    <row r="70" spans="1:11" s="14" customFormat="1" ht="21" x14ac:dyDescent="0.35">
      <c r="A70" s="48"/>
      <c r="B70" s="34">
        <v>45981</v>
      </c>
      <c r="C70" s="35" t="s">
        <v>413</v>
      </c>
      <c r="D70" s="35" t="s">
        <v>61</v>
      </c>
      <c r="E70" s="35" t="s">
        <v>36</v>
      </c>
      <c r="F70" s="35" t="s">
        <v>278</v>
      </c>
      <c r="G70" s="36">
        <v>60</v>
      </c>
      <c r="H70" s="37" t="s">
        <v>7</v>
      </c>
      <c r="I70" s="35" t="s">
        <v>23</v>
      </c>
      <c r="J70" s="37" t="s">
        <v>24</v>
      </c>
      <c r="K70" s="14" t="s">
        <v>20</v>
      </c>
    </row>
    <row r="71" spans="1:11" ht="21" x14ac:dyDescent="0.35">
      <c r="A71" s="48"/>
      <c r="B71" s="34">
        <v>45982</v>
      </c>
      <c r="C71" s="35" t="s">
        <v>338</v>
      </c>
      <c r="D71" s="35" t="s">
        <v>37</v>
      </c>
      <c r="E71" s="35" t="s">
        <v>36</v>
      </c>
      <c r="F71" s="35" t="s">
        <v>279</v>
      </c>
      <c r="G71" s="36">
        <v>182</v>
      </c>
      <c r="H71" s="37" t="s">
        <v>7</v>
      </c>
      <c r="I71" s="35" t="s">
        <v>21</v>
      </c>
      <c r="J71" s="37" t="s">
        <v>28</v>
      </c>
      <c r="K71" t="s">
        <v>20</v>
      </c>
    </row>
    <row r="72" spans="1:11" ht="21" x14ac:dyDescent="0.35">
      <c r="A72" s="48"/>
      <c r="B72" s="34">
        <v>45980</v>
      </c>
      <c r="C72" s="35" t="s">
        <v>331</v>
      </c>
      <c r="D72" s="35" t="s">
        <v>37</v>
      </c>
      <c r="E72" s="35" t="s">
        <v>36</v>
      </c>
      <c r="F72" s="35" t="s">
        <v>284</v>
      </c>
      <c r="G72" s="36">
        <v>114</v>
      </c>
      <c r="H72" s="37" t="s">
        <v>7</v>
      </c>
      <c r="I72" s="35" t="s">
        <v>21</v>
      </c>
      <c r="J72" s="37" t="s">
        <v>249</v>
      </c>
      <c r="K72" t="s">
        <v>20</v>
      </c>
    </row>
    <row r="73" spans="1:11" ht="21" x14ac:dyDescent="0.35">
      <c r="A73" s="48"/>
      <c r="B73" s="34">
        <v>45982</v>
      </c>
      <c r="C73" s="35" t="s">
        <v>399</v>
      </c>
      <c r="D73" s="35" t="s">
        <v>61</v>
      </c>
      <c r="E73" s="35" t="s">
        <v>36</v>
      </c>
      <c r="F73" s="35" t="s">
        <v>288</v>
      </c>
      <c r="G73" s="36">
        <v>1300</v>
      </c>
      <c r="H73" s="37" t="s">
        <v>7</v>
      </c>
      <c r="I73" s="35" t="s">
        <v>21</v>
      </c>
      <c r="J73" s="37" t="s">
        <v>22</v>
      </c>
      <c r="K73" t="s">
        <v>20</v>
      </c>
    </row>
    <row r="74" spans="1:11" ht="21" x14ac:dyDescent="0.35">
      <c r="A74" s="48"/>
      <c r="B74" s="34">
        <v>45985</v>
      </c>
      <c r="C74" s="35" t="s">
        <v>416</v>
      </c>
      <c r="D74" s="35" t="s">
        <v>41</v>
      </c>
      <c r="E74" s="35" t="s">
        <v>36</v>
      </c>
      <c r="F74" s="35" t="s">
        <v>276</v>
      </c>
      <c r="G74" s="36">
        <v>214.66</v>
      </c>
      <c r="H74" s="37" t="s">
        <v>7</v>
      </c>
      <c r="I74" s="35" t="s">
        <v>23</v>
      </c>
      <c r="J74" s="37" t="s">
        <v>43</v>
      </c>
      <c r="K74" t="s">
        <v>20</v>
      </c>
    </row>
    <row r="75" spans="1:11" ht="21" x14ac:dyDescent="0.35">
      <c r="A75" s="48"/>
      <c r="B75" s="34">
        <v>45982</v>
      </c>
      <c r="C75" s="35" t="s">
        <v>346</v>
      </c>
      <c r="D75" s="35" t="s">
        <v>37</v>
      </c>
      <c r="E75" s="35" t="s">
        <v>36</v>
      </c>
      <c r="F75" s="35" t="s">
        <v>281</v>
      </c>
      <c r="G75" s="36">
        <v>860.75</v>
      </c>
      <c r="H75" s="37" t="s">
        <v>7</v>
      </c>
      <c r="I75" s="35" t="s">
        <v>21</v>
      </c>
      <c r="J75" s="37" t="s">
        <v>11</v>
      </c>
      <c r="K75" t="s">
        <v>20</v>
      </c>
    </row>
    <row r="76" spans="1:11" ht="21" x14ac:dyDescent="0.35">
      <c r="A76" s="48"/>
      <c r="B76" s="34">
        <v>45983</v>
      </c>
      <c r="C76" s="35" t="s">
        <v>425</v>
      </c>
      <c r="D76" s="35" t="s">
        <v>61</v>
      </c>
      <c r="E76" s="35" t="s">
        <v>36</v>
      </c>
      <c r="F76" s="35" t="s">
        <v>278</v>
      </c>
      <c r="G76" s="36">
        <v>121</v>
      </c>
      <c r="H76" s="37" t="s">
        <v>7</v>
      </c>
      <c r="I76" s="35" t="s">
        <v>21</v>
      </c>
      <c r="J76" s="37" t="s">
        <v>24</v>
      </c>
      <c r="K76" t="s">
        <v>20</v>
      </c>
    </row>
    <row r="77" spans="1:11" ht="21" x14ac:dyDescent="0.35">
      <c r="A77" s="48"/>
      <c r="B77" s="34">
        <v>45985</v>
      </c>
      <c r="C77" s="35" t="s">
        <v>417</v>
      </c>
      <c r="D77" s="35" t="s">
        <v>37</v>
      </c>
      <c r="E77" s="35" t="s">
        <v>36</v>
      </c>
      <c r="F77" s="35" t="s">
        <v>279</v>
      </c>
      <c r="G77" s="36">
        <v>439.72</v>
      </c>
      <c r="H77" s="37" t="s">
        <v>7</v>
      </c>
      <c r="I77" s="35" t="s">
        <v>21</v>
      </c>
      <c r="J77" s="37" t="s">
        <v>257</v>
      </c>
      <c r="K77" t="s">
        <v>20</v>
      </c>
    </row>
    <row r="78" spans="1:11" ht="21" x14ac:dyDescent="0.35">
      <c r="A78" s="48"/>
      <c r="B78" s="34">
        <v>45982</v>
      </c>
      <c r="C78" s="35" t="s">
        <v>352</v>
      </c>
      <c r="D78" s="35" t="s">
        <v>37</v>
      </c>
      <c r="E78" s="35" t="s">
        <v>36</v>
      </c>
      <c r="F78" s="35" t="s">
        <v>285</v>
      </c>
      <c r="G78" s="36">
        <v>656.66</v>
      </c>
      <c r="H78" s="37" t="s">
        <v>7</v>
      </c>
      <c r="I78" s="35" t="s">
        <v>21</v>
      </c>
      <c r="J78" s="37" t="s">
        <v>11</v>
      </c>
      <c r="K78" t="s">
        <v>20</v>
      </c>
    </row>
    <row r="79" spans="1:11" s="14" customFormat="1" ht="21" x14ac:dyDescent="0.35">
      <c r="A79" s="48"/>
      <c r="B79" s="34">
        <v>45985</v>
      </c>
      <c r="C79" s="35" t="s">
        <v>414</v>
      </c>
      <c r="D79" s="35" t="s">
        <v>37</v>
      </c>
      <c r="E79" s="35" t="s">
        <v>36</v>
      </c>
      <c r="F79" s="35" t="s">
        <v>278</v>
      </c>
      <c r="G79" s="36">
        <v>99.26</v>
      </c>
      <c r="H79" s="37" t="s">
        <v>7</v>
      </c>
      <c r="I79" s="35" t="s">
        <v>21</v>
      </c>
      <c r="J79" s="37" t="s">
        <v>24</v>
      </c>
      <c r="K79" s="14" t="s">
        <v>20</v>
      </c>
    </row>
    <row r="80" spans="1:11" ht="21" x14ac:dyDescent="0.35">
      <c r="A80" s="48"/>
      <c r="B80" s="34">
        <v>45985</v>
      </c>
      <c r="C80" s="35" t="s">
        <v>415</v>
      </c>
      <c r="D80" s="35" t="s">
        <v>37</v>
      </c>
      <c r="E80" s="35" t="s">
        <v>36</v>
      </c>
      <c r="F80" s="35" t="s">
        <v>278</v>
      </c>
      <c r="G80" s="36">
        <v>214.66</v>
      </c>
      <c r="H80" s="37" t="s">
        <v>7</v>
      </c>
      <c r="I80" s="35" t="s">
        <v>21</v>
      </c>
      <c r="J80" s="37"/>
      <c r="K80" t="s">
        <v>20</v>
      </c>
    </row>
    <row r="81" spans="1:11" ht="21" x14ac:dyDescent="0.35">
      <c r="A81" s="48"/>
      <c r="B81" s="34">
        <v>45985</v>
      </c>
      <c r="C81" s="35" t="s">
        <v>47</v>
      </c>
      <c r="D81" s="35" t="s">
        <v>37</v>
      </c>
      <c r="E81" s="35" t="s">
        <v>36</v>
      </c>
      <c r="F81" s="35" t="s">
        <v>278</v>
      </c>
      <c r="G81" s="36">
        <v>126</v>
      </c>
      <c r="H81" s="37" t="s">
        <v>7</v>
      </c>
      <c r="I81" s="35" t="s">
        <v>21</v>
      </c>
      <c r="J81" s="37" t="s">
        <v>24</v>
      </c>
      <c r="K81" t="s">
        <v>20</v>
      </c>
    </row>
    <row r="82" spans="1:11" ht="21" x14ac:dyDescent="0.35">
      <c r="A82" s="48"/>
      <c r="B82" s="34">
        <v>45985</v>
      </c>
      <c r="C82" s="35" t="s">
        <v>418</v>
      </c>
      <c r="D82" s="35" t="s">
        <v>37</v>
      </c>
      <c r="E82" s="35" t="s">
        <v>36</v>
      </c>
      <c r="F82" s="35"/>
      <c r="G82" s="36">
        <v>747.37</v>
      </c>
      <c r="H82" s="37" t="s">
        <v>7</v>
      </c>
      <c r="I82" s="35" t="s">
        <v>21</v>
      </c>
      <c r="J82" s="37" t="s">
        <v>10</v>
      </c>
      <c r="K82" t="s">
        <v>20</v>
      </c>
    </row>
    <row r="83" spans="1:11" ht="21" x14ac:dyDescent="0.35">
      <c r="A83" s="48"/>
      <c r="B83" s="34">
        <v>45985</v>
      </c>
      <c r="C83" s="35" t="s">
        <v>47</v>
      </c>
      <c r="D83" s="35" t="s">
        <v>37</v>
      </c>
      <c r="E83" s="35" t="s">
        <v>36</v>
      </c>
      <c r="F83" s="35" t="s">
        <v>282</v>
      </c>
      <c r="G83" s="36">
        <v>805.5</v>
      </c>
      <c r="H83" s="37" t="s">
        <v>7</v>
      </c>
      <c r="I83" s="35" t="s">
        <v>21</v>
      </c>
      <c r="J83" s="37" t="s">
        <v>10</v>
      </c>
      <c r="K83" t="s">
        <v>20</v>
      </c>
    </row>
    <row r="84" spans="1:11" s="14" customFormat="1" ht="21" x14ac:dyDescent="0.35">
      <c r="A84" s="48"/>
      <c r="B84" s="34">
        <v>45985</v>
      </c>
      <c r="C84" s="35" t="s">
        <v>419</v>
      </c>
      <c r="D84" s="35" t="s">
        <v>40</v>
      </c>
      <c r="E84" s="35" t="s">
        <v>36</v>
      </c>
      <c r="F84" s="35" t="s">
        <v>294</v>
      </c>
      <c r="G84" s="36">
        <v>743.33</v>
      </c>
      <c r="H84" s="37" t="s">
        <v>7</v>
      </c>
      <c r="I84" s="35" t="s">
        <v>21</v>
      </c>
      <c r="J84" s="37" t="s">
        <v>45</v>
      </c>
      <c r="K84" s="14" t="s">
        <v>20</v>
      </c>
    </row>
    <row r="85" spans="1:11" s="14" customFormat="1" ht="21" x14ac:dyDescent="0.35">
      <c r="A85" s="48"/>
      <c r="B85" s="34">
        <v>45985</v>
      </c>
      <c r="C85" s="35" t="s">
        <v>402</v>
      </c>
      <c r="D85" s="35" t="s">
        <v>40</v>
      </c>
      <c r="E85" s="35" t="s">
        <v>36</v>
      </c>
      <c r="F85" s="35" t="s">
        <v>288</v>
      </c>
      <c r="G85" s="36">
        <v>370</v>
      </c>
      <c r="H85" s="37" t="s">
        <v>7</v>
      </c>
      <c r="I85" s="35" t="s">
        <v>21</v>
      </c>
      <c r="J85" s="37" t="s">
        <v>16</v>
      </c>
      <c r="K85" s="14" t="s">
        <v>20</v>
      </c>
    </row>
    <row r="86" spans="1:11" ht="21" x14ac:dyDescent="0.35">
      <c r="A86" s="48"/>
      <c r="B86" s="34">
        <v>45986</v>
      </c>
      <c r="C86" s="35" t="s">
        <v>290</v>
      </c>
      <c r="D86" s="35" t="s">
        <v>37</v>
      </c>
      <c r="E86" s="35" t="s">
        <v>36</v>
      </c>
      <c r="F86" s="35" t="s">
        <v>279</v>
      </c>
      <c r="G86" s="36">
        <v>347.75</v>
      </c>
      <c r="H86" s="37" t="s">
        <v>7</v>
      </c>
      <c r="I86" s="35" t="s">
        <v>21</v>
      </c>
      <c r="J86" s="37" t="s">
        <v>57</v>
      </c>
      <c r="K86" t="s">
        <v>20</v>
      </c>
    </row>
    <row r="87" spans="1:11" ht="21" x14ac:dyDescent="0.35">
      <c r="A87" s="48"/>
      <c r="B87" s="34">
        <v>45986</v>
      </c>
      <c r="C87" s="35" t="s">
        <v>369</v>
      </c>
      <c r="D87" s="35" t="s">
        <v>421</v>
      </c>
      <c r="E87" s="35" t="s">
        <v>36</v>
      </c>
      <c r="F87" s="35" t="s">
        <v>278</v>
      </c>
      <c r="G87" s="36">
        <v>829</v>
      </c>
      <c r="H87" s="37" t="s">
        <v>7</v>
      </c>
      <c r="I87" s="35" t="s">
        <v>21</v>
      </c>
      <c r="J87" s="37" t="s">
        <v>297</v>
      </c>
      <c r="K87" t="s">
        <v>20</v>
      </c>
    </row>
    <row r="88" spans="1:11" ht="21" x14ac:dyDescent="0.35">
      <c r="A88" s="48"/>
      <c r="B88" s="34">
        <v>45986</v>
      </c>
      <c r="C88" s="35" t="s">
        <v>420</v>
      </c>
      <c r="D88" s="35" t="s">
        <v>37</v>
      </c>
      <c r="E88" s="35" t="s">
        <v>36</v>
      </c>
      <c r="F88" s="35" t="s">
        <v>284</v>
      </c>
      <c r="G88" s="36">
        <v>271.74</v>
      </c>
      <c r="H88" s="37" t="s">
        <v>7</v>
      </c>
      <c r="I88" s="37" t="s">
        <v>21</v>
      </c>
      <c r="J88" s="37" t="s">
        <v>10</v>
      </c>
      <c r="K88" t="s">
        <v>20</v>
      </c>
    </row>
    <row r="89" spans="1:11" ht="21" x14ac:dyDescent="0.35">
      <c r="A89" s="48"/>
      <c r="B89" s="34">
        <v>45988</v>
      </c>
      <c r="C89" s="35" t="s">
        <v>290</v>
      </c>
      <c r="D89" s="35" t="s">
        <v>37</v>
      </c>
      <c r="E89" s="35" t="s">
        <v>36</v>
      </c>
      <c r="F89" s="35" t="s">
        <v>278</v>
      </c>
      <c r="G89" s="36">
        <v>336</v>
      </c>
      <c r="H89" s="37" t="s">
        <v>7</v>
      </c>
      <c r="I89" s="37" t="s">
        <v>21</v>
      </c>
      <c r="J89" s="37" t="s">
        <v>422</v>
      </c>
      <c r="K89" t="s">
        <v>20</v>
      </c>
    </row>
    <row r="90" spans="1:11" ht="21" x14ac:dyDescent="0.35">
      <c r="A90" s="48"/>
      <c r="B90" s="34">
        <v>45987</v>
      </c>
      <c r="C90" s="35" t="s">
        <v>47</v>
      </c>
      <c r="D90" s="35" t="s">
        <v>37</v>
      </c>
      <c r="E90" s="35" t="s">
        <v>36</v>
      </c>
      <c r="F90" s="35" t="s">
        <v>279</v>
      </c>
      <c r="G90" s="36">
        <v>336.25</v>
      </c>
      <c r="H90" s="37" t="s">
        <v>7</v>
      </c>
      <c r="I90" s="37" t="s">
        <v>21</v>
      </c>
      <c r="J90" s="37" t="s">
        <v>265</v>
      </c>
      <c r="K90" t="s">
        <v>20</v>
      </c>
    </row>
    <row r="91" spans="1:11" ht="21" x14ac:dyDescent="0.35">
      <c r="A91" s="48"/>
      <c r="B91" s="34">
        <v>45985</v>
      </c>
      <c r="C91" s="35" t="s">
        <v>47</v>
      </c>
      <c r="D91" s="35" t="s">
        <v>37</v>
      </c>
      <c r="E91" s="35" t="s">
        <v>36</v>
      </c>
      <c r="F91" s="35" t="s">
        <v>281</v>
      </c>
      <c r="G91" s="36">
        <v>2388.25</v>
      </c>
      <c r="H91" s="37" t="s">
        <v>7</v>
      </c>
      <c r="I91" s="37" t="s">
        <v>21</v>
      </c>
      <c r="J91" s="37" t="s">
        <v>11</v>
      </c>
      <c r="K91" t="s">
        <v>20</v>
      </c>
    </row>
    <row r="92" spans="1:11" ht="21" x14ac:dyDescent="0.35">
      <c r="A92" s="48"/>
      <c r="B92" s="34">
        <v>45987</v>
      </c>
      <c r="C92" s="35" t="s">
        <v>379</v>
      </c>
      <c r="D92" s="35" t="s">
        <v>37</v>
      </c>
      <c r="E92" s="35" t="s">
        <v>36</v>
      </c>
      <c r="F92" s="35" t="s">
        <v>294</v>
      </c>
      <c r="G92" s="36">
        <v>387.06</v>
      </c>
      <c r="H92" s="37" t="s">
        <v>7</v>
      </c>
      <c r="I92" s="37" t="s">
        <v>21</v>
      </c>
      <c r="J92" s="37" t="s">
        <v>22</v>
      </c>
      <c r="K92" t="s">
        <v>20</v>
      </c>
    </row>
    <row r="93" spans="1:11" ht="21" x14ac:dyDescent="0.35">
      <c r="A93" s="48"/>
      <c r="B93" s="34">
        <v>45987</v>
      </c>
      <c r="C93" s="35" t="s">
        <v>309</v>
      </c>
      <c r="D93" s="35" t="s">
        <v>61</v>
      </c>
      <c r="E93" s="35" t="s">
        <v>36</v>
      </c>
      <c r="F93" s="35" t="s">
        <v>285</v>
      </c>
      <c r="G93" s="36">
        <v>500</v>
      </c>
      <c r="H93" s="37" t="s">
        <v>7</v>
      </c>
      <c r="I93" s="35" t="s">
        <v>21</v>
      </c>
      <c r="J93" s="37" t="s">
        <v>11</v>
      </c>
      <c r="K93" s="14" t="s">
        <v>20</v>
      </c>
    </row>
    <row r="94" spans="1:11" ht="21" x14ac:dyDescent="0.35">
      <c r="A94" s="48"/>
      <c r="B94" s="34">
        <v>45987</v>
      </c>
      <c r="C94" s="35" t="s">
        <v>418</v>
      </c>
      <c r="D94" s="35" t="s">
        <v>88</v>
      </c>
      <c r="E94" s="35" t="s">
        <v>36</v>
      </c>
      <c r="F94" s="35" t="s">
        <v>288</v>
      </c>
      <c r="G94" s="36">
        <v>973.44</v>
      </c>
      <c r="H94" s="37" t="s">
        <v>7</v>
      </c>
      <c r="I94" s="37" t="s">
        <v>21</v>
      </c>
      <c r="J94" s="37" t="s">
        <v>14</v>
      </c>
      <c r="K94" t="s">
        <v>20</v>
      </c>
    </row>
    <row r="95" spans="1:11" ht="21" x14ac:dyDescent="0.35">
      <c r="A95" s="48"/>
      <c r="B95" s="34">
        <v>45989</v>
      </c>
      <c r="C95" s="35" t="s">
        <v>423</v>
      </c>
      <c r="D95" s="35" t="s">
        <v>61</v>
      </c>
      <c r="E95" s="35" t="s">
        <v>36</v>
      </c>
      <c r="F95" s="35" t="s">
        <v>288</v>
      </c>
      <c r="G95" s="36">
        <v>525</v>
      </c>
      <c r="H95" s="37" t="s">
        <v>7</v>
      </c>
      <c r="I95" s="35" t="s">
        <v>21</v>
      </c>
      <c r="J95" s="37" t="s">
        <v>22</v>
      </c>
      <c r="K95" t="s">
        <v>20</v>
      </c>
    </row>
    <row r="96" spans="1:11" ht="21" x14ac:dyDescent="0.35">
      <c r="A96" s="48"/>
      <c r="B96" s="34"/>
      <c r="C96" s="35"/>
      <c r="D96" s="35"/>
      <c r="E96" s="35"/>
      <c r="F96" s="35"/>
      <c r="G96" s="36"/>
      <c r="H96" s="37"/>
      <c r="I96" s="37"/>
      <c r="J96" s="37"/>
    </row>
    <row r="97" spans="1:10" ht="21" x14ac:dyDescent="0.35">
      <c r="A97" s="48"/>
      <c r="B97" s="34"/>
      <c r="C97" s="35"/>
      <c r="D97" s="35"/>
      <c r="E97" s="35"/>
      <c r="F97" s="35"/>
      <c r="G97" s="36"/>
      <c r="H97" s="37"/>
      <c r="I97" s="37"/>
      <c r="J97" s="37"/>
    </row>
    <row r="98" spans="1:10" ht="21" x14ac:dyDescent="0.35">
      <c r="A98" s="48"/>
      <c r="B98" s="37"/>
      <c r="C98" s="37" t="s">
        <v>8</v>
      </c>
      <c r="D98" s="37"/>
      <c r="E98" s="37"/>
      <c r="F98" s="35"/>
      <c r="G98" s="36">
        <f>SUM(G30:G95)</f>
        <v>44757.960000000014</v>
      </c>
      <c r="H98" s="37"/>
      <c r="I98" s="37"/>
      <c r="J98" s="37"/>
    </row>
  </sheetData>
  <mergeCells count="2">
    <mergeCell ref="A1:H1"/>
    <mergeCell ref="A28:H28"/>
  </mergeCells>
  <conditionalFormatting sqref="H65:I65 H26:I27 H32:I40 H42:I43 H94:I94 H45:I53 H55:I62 H96:I97 H69:I92 H8:I19 H6:I6">
    <cfRule type="containsText" dxfId="116" priority="337" operator="containsText" text="ATRASADO">
      <formula>NOT(ISERROR(SEARCH("ATRASADO",H6)))</formula>
    </cfRule>
    <cfRule type="containsText" dxfId="115" priority="338" operator="containsText" text="A PAGAR">
      <formula>NOT(ISERROR(SEARCH("A PAGAR",H6)))</formula>
    </cfRule>
    <cfRule type="containsText" dxfId="114" priority="339" operator="containsText" text="PAGO">
      <formula>NOT(ISERROR(SEARCH("PAGO",H6)))</formula>
    </cfRule>
  </conditionalFormatting>
  <conditionalFormatting sqref="H30">
    <cfRule type="containsText" dxfId="113" priority="289" operator="containsText" text="ATRASADO">
      <formula>NOT(ISERROR(SEARCH("ATRASADO",H30)))</formula>
    </cfRule>
    <cfRule type="containsText" dxfId="112" priority="290" operator="containsText" text="A PAGAR">
      <formula>NOT(ISERROR(SEARCH("A PAGAR",H30)))</formula>
    </cfRule>
    <cfRule type="containsText" dxfId="111" priority="291" operator="containsText" text="PAGO">
      <formula>NOT(ISERROR(SEARCH("PAGO",H30)))</formula>
    </cfRule>
  </conditionalFormatting>
  <conditionalFormatting sqref="H98:I98">
    <cfRule type="containsText" dxfId="110" priority="286" operator="containsText" text="ATRASADO">
      <formula>NOT(ISERROR(SEARCH("ATRASADO",H98)))</formula>
    </cfRule>
    <cfRule type="containsText" dxfId="109" priority="287" operator="containsText" text="A PAGAR">
      <formula>NOT(ISERROR(SEARCH("A PAGAR",H98)))</formula>
    </cfRule>
    <cfRule type="containsText" dxfId="108" priority="288" operator="containsText" text="PAGO">
      <formula>NOT(ISERROR(SEARCH("PAGO",H98)))</formula>
    </cfRule>
  </conditionalFormatting>
  <conditionalFormatting sqref="H66:I68">
    <cfRule type="containsText" dxfId="107" priority="283" operator="containsText" text="ATRASADO">
      <formula>NOT(ISERROR(SEARCH("ATRASADO",H66)))</formula>
    </cfRule>
    <cfRule type="containsText" dxfId="106" priority="284" operator="containsText" text="A PAGAR">
      <formula>NOT(ISERROR(SEARCH("A PAGAR",H66)))</formula>
    </cfRule>
    <cfRule type="containsText" dxfId="105" priority="285" operator="containsText" text="PAGO">
      <formula>NOT(ISERROR(SEARCH("PAGO",H66)))</formula>
    </cfRule>
  </conditionalFormatting>
  <conditionalFormatting sqref="H7:I7">
    <cfRule type="containsText" dxfId="104" priority="268" operator="containsText" text="ATRASADO">
      <formula>NOT(ISERROR(SEARCH("ATRASADO",H7)))</formula>
    </cfRule>
    <cfRule type="containsText" dxfId="103" priority="269" operator="containsText" text="A PAGAR">
      <formula>NOT(ISERROR(SEARCH("A PAGAR",H7)))</formula>
    </cfRule>
    <cfRule type="containsText" dxfId="102" priority="270" operator="containsText" text="PAGO">
      <formula>NOT(ISERROR(SEARCH("PAGO",H7)))</formula>
    </cfRule>
  </conditionalFormatting>
  <conditionalFormatting sqref="H31:I31">
    <cfRule type="containsText" dxfId="101" priority="262" operator="containsText" text="ATRASADO">
      <formula>NOT(ISERROR(SEARCH("ATRASADO",H31)))</formula>
    </cfRule>
    <cfRule type="containsText" dxfId="100" priority="263" operator="containsText" text="A PAGAR">
      <formula>NOT(ISERROR(SEARCH("A PAGAR",H31)))</formula>
    </cfRule>
    <cfRule type="containsText" dxfId="99" priority="264" operator="containsText" text="PAGO">
      <formula>NOT(ISERROR(SEARCH("PAGO",H31)))</formula>
    </cfRule>
  </conditionalFormatting>
  <conditionalFormatting sqref="H63:I63">
    <cfRule type="containsText" dxfId="98" priority="259" operator="containsText" text="ATRASADO">
      <formula>NOT(ISERROR(SEARCH("ATRASADO",H63)))</formula>
    </cfRule>
    <cfRule type="containsText" dxfId="97" priority="260" operator="containsText" text="A PAGAR">
      <formula>NOT(ISERROR(SEARCH("A PAGAR",H63)))</formula>
    </cfRule>
    <cfRule type="containsText" dxfId="96" priority="261" operator="containsText" text="PAGO">
      <formula>NOT(ISERROR(SEARCH("PAGO",H63)))</formula>
    </cfRule>
  </conditionalFormatting>
  <conditionalFormatting sqref="H64:I64">
    <cfRule type="containsText" dxfId="95" priority="256" operator="containsText" text="ATRASADO">
      <formula>NOT(ISERROR(SEARCH("ATRASADO",H64)))</formula>
    </cfRule>
    <cfRule type="containsText" dxfId="94" priority="257" operator="containsText" text="A PAGAR">
      <formula>NOT(ISERROR(SEARCH("A PAGAR",H64)))</formula>
    </cfRule>
    <cfRule type="containsText" dxfId="93" priority="258" operator="containsText" text="PAGO">
      <formula>NOT(ISERROR(SEARCH("PAGO",H64)))</formula>
    </cfRule>
  </conditionalFormatting>
  <conditionalFormatting sqref="H4:I4">
    <cfRule type="containsText" dxfId="92" priority="241" operator="containsText" text="ATRASADO">
      <formula>NOT(ISERROR(SEARCH("ATRASADO",H4)))</formula>
    </cfRule>
    <cfRule type="containsText" dxfId="91" priority="242" operator="containsText" text="A PAGAR">
      <formula>NOT(ISERROR(SEARCH("A PAGAR",H4)))</formula>
    </cfRule>
    <cfRule type="containsText" dxfId="90" priority="243" operator="containsText" text="PAGO">
      <formula>NOT(ISERROR(SEARCH("PAGO",H4)))</formula>
    </cfRule>
  </conditionalFormatting>
  <conditionalFormatting sqref="H5:I5">
    <cfRule type="containsText" dxfId="89" priority="238" operator="containsText" text="ATRASADO">
      <formula>NOT(ISERROR(SEARCH("ATRASADO",H5)))</formula>
    </cfRule>
    <cfRule type="containsText" dxfId="88" priority="239" operator="containsText" text="A PAGAR">
      <formula>NOT(ISERROR(SEARCH("A PAGAR",H5)))</formula>
    </cfRule>
    <cfRule type="containsText" dxfId="87" priority="240" operator="containsText" text="PAGO">
      <formula>NOT(ISERROR(SEARCH("PAGO",H5)))</formula>
    </cfRule>
  </conditionalFormatting>
  <conditionalFormatting sqref="H44:I44">
    <cfRule type="containsText" dxfId="86" priority="235" operator="containsText" text="ATRASADO">
      <formula>NOT(ISERROR(SEARCH("ATRASADO",H44)))</formula>
    </cfRule>
    <cfRule type="containsText" dxfId="85" priority="236" operator="containsText" text="A PAGAR">
      <formula>NOT(ISERROR(SEARCH("A PAGAR",H44)))</formula>
    </cfRule>
    <cfRule type="containsText" dxfId="84" priority="237" operator="containsText" text="PAGO">
      <formula>NOT(ISERROR(SEARCH("PAGO",H44)))</formula>
    </cfRule>
  </conditionalFormatting>
  <conditionalFormatting sqref="H54:I54">
    <cfRule type="containsText" dxfId="83" priority="229" operator="containsText" text="ATRASADO">
      <formula>NOT(ISERROR(SEARCH("ATRASADO",H54)))</formula>
    </cfRule>
    <cfRule type="containsText" dxfId="82" priority="230" operator="containsText" text="A PAGAR">
      <formula>NOT(ISERROR(SEARCH("A PAGAR",H54)))</formula>
    </cfRule>
    <cfRule type="containsText" dxfId="81" priority="231" operator="containsText" text="PAGO">
      <formula>NOT(ISERROR(SEARCH("PAGO",H54)))</formula>
    </cfRule>
  </conditionalFormatting>
  <conditionalFormatting sqref="H20:I25">
    <cfRule type="containsText" dxfId="80" priority="223" operator="containsText" text="ATRASADO">
      <formula>NOT(ISERROR(SEARCH("ATRASADO",H20)))</formula>
    </cfRule>
    <cfRule type="containsText" dxfId="79" priority="224" operator="containsText" text="A PAGAR">
      <formula>NOT(ISERROR(SEARCH("A PAGAR",H20)))</formula>
    </cfRule>
    <cfRule type="containsText" dxfId="78" priority="225" operator="containsText" text="PAGO">
      <formula>NOT(ISERROR(SEARCH("PAGO",H20)))</formula>
    </cfRule>
  </conditionalFormatting>
  <conditionalFormatting sqref="H95:I95">
    <cfRule type="containsText" dxfId="77" priority="217" operator="containsText" text="ATRASADO">
      <formula>NOT(ISERROR(SEARCH("ATRASADO",H95)))</formula>
    </cfRule>
    <cfRule type="containsText" dxfId="76" priority="218" operator="containsText" text="A PAGAR">
      <formula>NOT(ISERROR(SEARCH("A PAGAR",H95)))</formula>
    </cfRule>
    <cfRule type="containsText" dxfId="75" priority="219" operator="containsText" text="PAGO">
      <formula>NOT(ISERROR(SEARCH("PAGO",H95)))</formula>
    </cfRule>
  </conditionalFormatting>
  <conditionalFormatting sqref="H3:I3">
    <cfRule type="containsText" dxfId="74" priority="163" operator="containsText" text="ATRASADO">
      <formula>NOT(ISERROR(SEARCH("ATRASADO",H3)))</formula>
    </cfRule>
    <cfRule type="containsText" dxfId="73" priority="164" operator="containsText" text="A PAGAR">
      <formula>NOT(ISERROR(SEARCH("A PAGAR",H3)))</formula>
    </cfRule>
    <cfRule type="containsText" dxfId="72" priority="165" operator="containsText" text="PAGO">
      <formula>NOT(ISERROR(SEARCH("PAGO",H3)))</formula>
    </cfRule>
  </conditionalFormatting>
  <conditionalFormatting sqref="H41:I41">
    <cfRule type="containsText" dxfId="71" priority="73" operator="containsText" text="ATRASADO">
      <formula>NOT(ISERROR(SEARCH("ATRASADO",H41)))</formula>
    </cfRule>
    <cfRule type="containsText" dxfId="70" priority="74" operator="containsText" text="A PAGAR">
      <formula>NOT(ISERROR(SEARCH("A PAGAR",H41)))</formula>
    </cfRule>
    <cfRule type="containsText" dxfId="69" priority="75" operator="containsText" text="PAGO">
      <formula>NOT(ISERROR(SEARCH("PAGO",H41)))</formula>
    </cfRule>
  </conditionalFormatting>
  <conditionalFormatting sqref="H93:I93">
    <cfRule type="containsText" dxfId="68" priority="28" operator="containsText" text="ATRASADO">
      <formula>NOT(ISERROR(SEARCH("ATRASADO",H93)))</formula>
    </cfRule>
    <cfRule type="containsText" dxfId="67" priority="29" operator="containsText" text="A PAGAR">
      <formula>NOT(ISERROR(SEARCH("A PAGAR",H93)))</formula>
    </cfRule>
    <cfRule type="containsText" dxfId="66" priority="30" operator="containsText" text="PAGO">
      <formula>NOT(ISERROR(SEARCH("PAGO",H93)))</formula>
    </cfRule>
  </conditionalFormatting>
  <pageMargins left="0.511811024" right="0.511811024" top="0.78740157499999996" bottom="0.78740157499999996" header="0.31496062000000002" footer="0.31496062000000002"/>
  <pageSetup paperSize="9" scale="33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E5AA-7B09-4E87-AF6C-727DB611C934}">
  <dimension ref="A1:J111"/>
  <sheetViews>
    <sheetView tabSelected="1" view="pageBreakPreview" zoomScale="66" zoomScaleNormal="66" zoomScaleSheetLayoutView="66" workbookViewId="0">
      <selection activeCell="H1" sqref="H1"/>
    </sheetView>
  </sheetViews>
  <sheetFormatPr defaultRowHeight="15" x14ac:dyDescent="0.25"/>
  <cols>
    <col min="1" max="1" width="21.140625" customWidth="1"/>
    <col min="2" max="2" width="94.7109375" customWidth="1"/>
    <col min="3" max="3" width="37.140625" customWidth="1"/>
    <col min="4" max="4" width="37.7109375" customWidth="1"/>
    <col min="5" max="5" width="12.28515625" customWidth="1"/>
    <col min="6" max="6" width="23" customWidth="1"/>
    <col min="7" max="7" width="13.28515625" customWidth="1"/>
    <col min="8" max="8" width="25" customWidth="1"/>
    <col min="9" max="9" width="12.42578125" customWidth="1"/>
  </cols>
  <sheetData>
    <row r="1" spans="1:10" ht="27" customHeight="1" x14ac:dyDescent="0.35">
      <c r="A1" s="71" t="s">
        <v>15</v>
      </c>
      <c r="B1" s="71"/>
      <c r="C1" s="71"/>
      <c r="D1" s="71"/>
      <c r="E1" s="71"/>
      <c r="F1" s="71"/>
      <c r="G1" s="72"/>
      <c r="H1" s="66"/>
      <c r="I1" s="39"/>
      <c r="J1" s="14"/>
    </row>
    <row r="2" spans="1:10" ht="21" x14ac:dyDescent="0.35">
      <c r="A2" s="32" t="s">
        <v>1</v>
      </c>
      <c r="B2" s="32" t="s">
        <v>2</v>
      </c>
      <c r="C2" s="32" t="s">
        <v>31</v>
      </c>
      <c r="D2" s="32" t="s">
        <v>32</v>
      </c>
      <c r="E2" s="32" t="s">
        <v>273</v>
      </c>
      <c r="F2" s="32" t="s">
        <v>3</v>
      </c>
      <c r="G2" s="32" t="s">
        <v>4</v>
      </c>
      <c r="H2" s="33" t="s">
        <v>5</v>
      </c>
      <c r="I2" s="46" t="s">
        <v>6</v>
      </c>
      <c r="J2" s="14"/>
    </row>
    <row r="3" spans="1:10" ht="21" x14ac:dyDescent="0.35">
      <c r="A3" s="34">
        <v>45992</v>
      </c>
      <c r="B3" s="35" t="s">
        <v>302</v>
      </c>
      <c r="C3" s="35" t="s">
        <v>34</v>
      </c>
      <c r="D3" s="35" t="s">
        <v>33</v>
      </c>
      <c r="E3" s="35" t="s">
        <v>388</v>
      </c>
      <c r="F3" s="36">
        <v>611.41999999999996</v>
      </c>
      <c r="G3" s="37" t="s">
        <v>7</v>
      </c>
      <c r="H3" s="37" t="s">
        <v>21</v>
      </c>
      <c r="I3" s="37" t="s">
        <v>45</v>
      </c>
      <c r="J3" s="14" t="s">
        <v>20</v>
      </c>
    </row>
    <row r="4" spans="1:10" ht="21" x14ac:dyDescent="0.35">
      <c r="A4" s="34">
        <v>45992</v>
      </c>
      <c r="B4" s="35" t="s">
        <v>302</v>
      </c>
      <c r="C4" s="35" t="s">
        <v>34</v>
      </c>
      <c r="D4" s="35" t="s">
        <v>33</v>
      </c>
      <c r="E4" s="35" t="s">
        <v>389</v>
      </c>
      <c r="F4" s="36">
        <v>698.8</v>
      </c>
      <c r="G4" s="37" t="s">
        <v>7</v>
      </c>
      <c r="H4" s="37" t="s">
        <v>21</v>
      </c>
      <c r="I4" s="37" t="s">
        <v>58</v>
      </c>
      <c r="J4" s="14" t="s">
        <v>20</v>
      </c>
    </row>
    <row r="5" spans="1:10" ht="21" x14ac:dyDescent="0.35">
      <c r="A5" s="57">
        <v>45993</v>
      </c>
      <c r="B5" s="58" t="s">
        <v>390</v>
      </c>
      <c r="C5" s="58" t="s">
        <v>39</v>
      </c>
      <c r="D5" s="58" t="s">
        <v>36</v>
      </c>
      <c r="E5" s="58" t="s">
        <v>275</v>
      </c>
      <c r="F5" s="59">
        <v>1165</v>
      </c>
      <c r="G5" s="37" t="s">
        <v>7</v>
      </c>
      <c r="H5" s="37" t="s">
        <v>23</v>
      </c>
      <c r="I5" s="49" t="s">
        <v>297</v>
      </c>
      <c r="J5" s="14" t="s">
        <v>20</v>
      </c>
    </row>
    <row r="6" spans="1:10" ht="21" x14ac:dyDescent="0.35">
      <c r="A6" s="57">
        <v>45996</v>
      </c>
      <c r="B6" s="35" t="s">
        <v>390</v>
      </c>
      <c r="C6" s="35" t="s">
        <v>39</v>
      </c>
      <c r="D6" s="35" t="s">
        <v>36</v>
      </c>
      <c r="E6" s="35" t="s">
        <v>279</v>
      </c>
      <c r="F6" s="36">
        <v>1208.75</v>
      </c>
      <c r="G6" s="37" t="s">
        <v>7</v>
      </c>
      <c r="H6" s="37" t="s">
        <v>21</v>
      </c>
      <c r="I6" s="37" t="s">
        <v>297</v>
      </c>
      <c r="J6" s="19" t="s">
        <v>20</v>
      </c>
    </row>
    <row r="7" spans="1:10" s="14" customFormat="1" ht="21" x14ac:dyDescent="0.35">
      <c r="A7" s="57">
        <v>45996</v>
      </c>
      <c r="B7" s="35" t="s">
        <v>432</v>
      </c>
      <c r="C7" s="35" t="s">
        <v>17</v>
      </c>
      <c r="D7" s="35" t="s">
        <v>36</v>
      </c>
      <c r="E7" s="35" t="s">
        <v>278</v>
      </c>
      <c r="F7" s="36">
        <v>720</v>
      </c>
      <c r="G7" s="37" t="s">
        <v>7</v>
      </c>
      <c r="H7" s="37" t="s">
        <v>23</v>
      </c>
      <c r="I7" s="37" t="s">
        <v>297</v>
      </c>
      <c r="J7" s="19" t="s">
        <v>20</v>
      </c>
    </row>
    <row r="8" spans="1:10" ht="21" x14ac:dyDescent="0.35">
      <c r="A8" s="57">
        <v>45999</v>
      </c>
      <c r="B8" s="35" t="s">
        <v>390</v>
      </c>
      <c r="C8" s="35" t="s">
        <v>17</v>
      </c>
      <c r="D8" s="35" t="s">
        <v>36</v>
      </c>
      <c r="E8" s="35" t="s">
        <v>279</v>
      </c>
      <c r="F8" s="36">
        <v>300</v>
      </c>
      <c r="G8" s="37" t="s">
        <v>7</v>
      </c>
      <c r="H8" s="37" t="s">
        <v>21</v>
      </c>
      <c r="I8" s="37" t="s">
        <v>297</v>
      </c>
      <c r="J8" s="19" t="s">
        <v>20</v>
      </c>
    </row>
    <row r="9" spans="1:10" s="14" customFormat="1" ht="21" x14ac:dyDescent="0.35">
      <c r="A9" s="57">
        <v>45999</v>
      </c>
      <c r="B9" s="35" t="s">
        <v>435</v>
      </c>
      <c r="C9" s="35" t="s">
        <v>17</v>
      </c>
      <c r="D9" s="35" t="s">
        <v>36</v>
      </c>
      <c r="E9" s="35" t="s">
        <v>278</v>
      </c>
      <c r="F9" s="36">
        <v>1400</v>
      </c>
      <c r="G9" s="37" t="s">
        <v>7</v>
      </c>
      <c r="H9" s="37" t="s">
        <v>21</v>
      </c>
      <c r="I9" s="37" t="s">
        <v>297</v>
      </c>
      <c r="J9" s="19" t="s">
        <v>20</v>
      </c>
    </row>
    <row r="10" spans="1:10" s="14" customFormat="1" ht="21" x14ac:dyDescent="0.35">
      <c r="A10" s="57">
        <v>45999</v>
      </c>
      <c r="B10" s="35" t="s">
        <v>436</v>
      </c>
      <c r="C10" s="35" t="s">
        <v>17</v>
      </c>
      <c r="D10" s="35" t="s">
        <v>36</v>
      </c>
      <c r="E10" s="35" t="s">
        <v>278</v>
      </c>
      <c r="F10" s="36">
        <v>80</v>
      </c>
      <c r="G10" s="37" t="s">
        <v>7</v>
      </c>
      <c r="H10" s="37" t="s">
        <v>23</v>
      </c>
      <c r="I10" s="37" t="s">
        <v>45</v>
      </c>
      <c r="J10" s="19" t="s">
        <v>20</v>
      </c>
    </row>
    <row r="11" spans="1:10" ht="21" x14ac:dyDescent="0.35">
      <c r="A11" s="51">
        <v>46000</v>
      </c>
      <c r="B11" s="35" t="s">
        <v>302</v>
      </c>
      <c r="C11" s="35" t="s">
        <v>34</v>
      </c>
      <c r="D11" s="35" t="s">
        <v>33</v>
      </c>
      <c r="E11" s="35" t="s">
        <v>388</v>
      </c>
      <c r="F11" s="36">
        <v>1509.39</v>
      </c>
      <c r="G11" s="37" t="s">
        <v>7</v>
      </c>
      <c r="H11" s="37" t="s">
        <v>21</v>
      </c>
      <c r="I11" s="37" t="s">
        <v>297</v>
      </c>
      <c r="J11" s="19" t="s">
        <v>20</v>
      </c>
    </row>
    <row r="12" spans="1:10" ht="21" x14ac:dyDescent="0.35">
      <c r="A12" s="34">
        <v>46002</v>
      </c>
      <c r="B12" s="35" t="s">
        <v>375</v>
      </c>
      <c r="C12" s="35" t="s">
        <v>39</v>
      </c>
      <c r="D12" s="35" t="s">
        <v>36</v>
      </c>
      <c r="E12" s="35" t="s">
        <v>282</v>
      </c>
      <c r="F12" s="36">
        <v>603.75</v>
      </c>
      <c r="G12" s="37" t="s">
        <v>7</v>
      </c>
      <c r="H12" s="37" t="s">
        <v>21</v>
      </c>
      <c r="I12" s="37" t="s">
        <v>51</v>
      </c>
      <c r="J12" s="19" t="s">
        <v>20</v>
      </c>
    </row>
    <row r="13" spans="1:10" ht="21" x14ac:dyDescent="0.35">
      <c r="A13" s="34">
        <v>46002</v>
      </c>
      <c r="B13" s="35" t="s">
        <v>390</v>
      </c>
      <c r="C13" s="35" t="s">
        <v>39</v>
      </c>
      <c r="D13" s="35" t="s">
        <v>36</v>
      </c>
      <c r="E13" s="35" t="s">
        <v>275</v>
      </c>
      <c r="F13" s="36">
        <v>1177.5</v>
      </c>
      <c r="G13" s="37" t="s">
        <v>7</v>
      </c>
      <c r="H13" s="37" t="s">
        <v>21</v>
      </c>
      <c r="I13" s="37" t="s">
        <v>297</v>
      </c>
      <c r="J13" s="19" t="s">
        <v>20</v>
      </c>
    </row>
    <row r="14" spans="1:10" ht="21" x14ac:dyDescent="0.35">
      <c r="A14" s="34">
        <v>46003</v>
      </c>
      <c r="B14" s="35" t="s">
        <v>391</v>
      </c>
      <c r="C14" s="35" t="s">
        <v>34</v>
      </c>
      <c r="D14" s="35" t="s">
        <v>33</v>
      </c>
      <c r="E14" s="35" t="s">
        <v>388</v>
      </c>
      <c r="F14" s="36">
        <v>913</v>
      </c>
      <c r="G14" s="37" t="s">
        <v>7</v>
      </c>
      <c r="H14" s="37" t="s">
        <v>19</v>
      </c>
      <c r="I14" s="37" t="s">
        <v>392</v>
      </c>
      <c r="J14" s="19" t="s">
        <v>20</v>
      </c>
    </row>
    <row r="15" spans="1:10" ht="21" x14ac:dyDescent="0.35">
      <c r="A15" s="34">
        <v>46006</v>
      </c>
      <c r="B15" s="35" t="s">
        <v>390</v>
      </c>
      <c r="C15" s="35" t="s">
        <v>34</v>
      </c>
      <c r="D15" s="35" t="s">
        <v>36</v>
      </c>
      <c r="E15" s="35" t="s">
        <v>279</v>
      </c>
      <c r="F15" s="36">
        <v>1721.49</v>
      </c>
      <c r="G15" s="37" t="s">
        <v>7</v>
      </c>
      <c r="H15" s="37" t="s">
        <v>21</v>
      </c>
      <c r="I15" s="37" t="s">
        <v>10</v>
      </c>
      <c r="J15" s="19" t="s">
        <v>20</v>
      </c>
    </row>
    <row r="16" spans="1:10" ht="21" x14ac:dyDescent="0.35">
      <c r="A16" s="34">
        <v>46008</v>
      </c>
      <c r="B16" s="35" t="s">
        <v>390</v>
      </c>
      <c r="C16" s="35" t="s">
        <v>39</v>
      </c>
      <c r="D16" s="35" t="s">
        <v>36</v>
      </c>
      <c r="E16" s="35" t="s">
        <v>279</v>
      </c>
      <c r="F16" s="36">
        <v>795</v>
      </c>
      <c r="G16" s="37" t="s">
        <v>7</v>
      </c>
      <c r="H16" s="37" t="s">
        <v>21</v>
      </c>
      <c r="I16" s="37" t="s">
        <v>297</v>
      </c>
      <c r="J16" s="19" t="s">
        <v>20</v>
      </c>
    </row>
    <row r="17" spans="1:10" s="14" customFormat="1" ht="21" x14ac:dyDescent="0.35">
      <c r="A17" s="34">
        <v>46008</v>
      </c>
      <c r="B17" s="35" t="s">
        <v>390</v>
      </c>
      <c r="C17" s="35" t="s">
        <v>39</v>
      </c>
      <c r="D17" s="35" t="s">
        <v>36</v>
      </c>
      <c r="E17" s="35" t="s">
        <v>282</v>
      </c>
      <c r="F17" s="36">
        <v>945.28</v>
      </c>
      <c r="G17" s="37" t="s">
        <v>7</v>
      </c>
      <c r="H17" s="37" t="s">
        <v>21</v>
      </c>
      <c r="I17" s="37" t="s">
        <v>297</v>
      </c>
      <c r="J17" s="19" t="s">
        <v>20</v>
      </c>
    </row>
    <row r="18" spans="1:10" ht="21" x14ac:dyDescent="0.35">
      <c r="A18" s="34">
        <v>46010</v>
      </c>
      <c r="B18" s="35" t="s">
        <v>390</v>
      </c>
      <c r="C18" s="35" t="s">
        <v>39</v>
      </c>
      <c r="D18" s="35" t="s">
        <v>36</v>
      </c>
      <c r="E18" s="35" t="s">
        <v>281</v>
      </c>
      <c r="F18" s="36">
        <v>973.75</v>
      </c>
      <c r="G18" s="37" t="s">
        <v>7</v>
      </c>
      <c r="H18" s="37" t="s">
        <v>21</v>
      </c>
      <c r="I18" s="37" t="s">
        <v>392</v>
      </c>
      <c r="J18" s="19" t="s">
        <v>20</v>
      </c>
    </row>
    <row r="19" spans="1:10" ht="21" x14ac:dyDescent="0.35">
      <c r="A19" s="34">
        <v>46010</v>
      </c>
      <c r="B19" s="35" t="s">
        <v>390</v>
      </c>
      <c r="C19" s="35" t="s">
        <v>39</v>
      </c>
      <c r="D19" s="35" t="s">
        <v>36</v>
      </c>
      <c r="E19" s="35" t="s">
        <v>275</v>
      </c>
      <c r="F19" s="36">
        <v>1007.5</v>
      </c>
      <c r="G19" s="37" t="s">
        <v>7</v>
      </c>
      <c r="H19" s="37" t="s">
        <v>21</v>
      </c>
      <c r="I19" s="37" t="s">
        <v>297</v>
      </c>
      <c r="J19" s="19" t="s">
        <v>20</v>
      </c>
    </row>
    <row r="20" spans="1:10" ht="21" x14ac:dyDescent="0.35">
      <c r="A20" s="34">
        <v>46010</v>
      </c>
      <c r="B20" s="35" t="s">
        <v>390</v>
      </c>
      <c r="C20" s="35" t="s">
        <v>39</v>
      </c>
      <c r="D20" s="35" t="s">
        <v>36</v>
      </c>
      <c r="E20" s="35" t="s">
        <v>279</v>
      </c>
      <c r="F20" s="36">
        <v>592.5</v>
      </c>
      <c r="G20" s="37" t="s">
        <v>7</v>
      </c>
      <c r="H20" s="37" t="s">
        <v>21</v>
      </c>
      <c r="I20" s="37" t="s">
        <v>297</v>
      </c>
      <c r="J20" s="19" t="s">
        <v>20</v>
      </c>
    </row>
    <row r="21" spans="1:10" ht="21" x14ac:dyDescent="0.35">
      <c r="A21" s="34">
        <v>46010</v>
      </c>
      <c r="B21" s="35" t="s">
        <v>332</v>
      </c>
      <c r="C21" s="35" t="s">
        <v>34</v>
      </c>
      <c r="D21" s="35" t="s">
        <v>33</v>
      </c>
      <c r="E21" s="35" t="s">
        <v>388</v>
      </c>
      <c r="F21" s="36">
        <v>1638</v>
      </c>
      <c r="G21" s="37" t="s">
        <v>7</v>
      </c>
      <c r="H21" s="37" t="s">
        <v>21</v>
      </c>
      <c r="I21" s="37" t="s">
        <v>297</v>
      </c>
      <c r="J21" s="19" t="s">
        <v>20</v>
      </c>
    </row>
    <row r="22" spans="1:10" s="14" customFormat="1" ht="21" x14ac:dyDescent="0.35">
      <c r="A22" s="34">
        <v>46010</v>
      </c>
      <c r="B22" s="35" t="s">
        <v>332</v>
      </c>
      <c r="C22" s="35" t="s">
        <v>34</v>
      </c>
      <c r="D22" s="35" t="s">
        <v>33</v>
      </c>
      <c r="E22" s="35" t="s">
        <v>336</v>
      </c>
      <c r="F22" s="36">
        <v>853</v>
      </c>
      <c r="G22" s="37" t="s">
        <v>7</v>
      </c>
      <c r="H22" s="37" t="s">
        <v>21</v>
      </c>
      <c r="I22" s="37" t="s">
        <v>297</v>
      </c>
      <c r="J22" s="14" t="s">
        <v>20</v>
      </c>
    </row>
    <row r="23" spans="1:10" ht="21" x14ac:dyDescent="0.35">
      <c r="A23" s="34">
        <v>46013</v>
      </c>
      <c r="B23" s="35" t="s">
        <v>391</v>
      </c>
      <c r="C23" s="35" t="s">
        <v>34</v>
      </c>
      <c r="D23" s="35" t="s">
        <v>36</v>
      </c>
      <c r="E23" s="35" t="s">
        <v>393</v>
      </c>
      <c r="F23" s="36">
        <v>906</v>
      </c>
      <c r="G23" s="37" t="s">
        <v>7</v>
      </c>
      <c r="H23" s="37" t="s">
        <v>21</v>
      </c>
      <c r="I23" s="37" t="s">
        <v>42</v>
      </c>
      <c r="J23" s="14" t="s">
        <v>20</v>
      </c>
    </row>
    <row r="24" spans="1:10" ht="21" x14ac:dyDescent="0.35">
      <c r="A24" s="34">
        <v>46020</v>
      </c>
      <c r="B24" s="35" t="s">
        <v>302</v>
      </c>
      <c r="C24" s="35" t="s">
        <v>34</v>
      </c>
      <c r="D24" s="35" t="s">
        <v>33</v>
      </c>
      <c r="E24" s="35" t="s">
        <v>394</v>
      </c>
      <c r="F24" s="36">
        <v>611.41999999999996</v>
      </c>
      <c r="G24" s="37" t="s">
        <v>7</v>
      </c>
      <c r="H24" s="37" t="s">
        <v>21</v>
      </c>
      <c r="I24" s="37" t="s">
        <v>45</v>
      </c>
      <c r="J24" s="14" t="s">
        <v>20</v>
      </c>
    </row>
    <row r="25" spans="1:10" ht="21" x14ac:dyDescent="0.35">
      <c r="A25" s="34">
        <v>46020</v>
      </c>
      <c r="B25" s="35" t="s">
        <v>302</v>
      </c>
      <c r="C25" s="35" t="s">
        <v>34</v>
      </c>
      <c r="D25" s="35" t="s">
        <v>33</v>
      </c>
      <c r="E25" s="35" t="s">
        <v>277</v>
      </c>
      <c r="F25" s="36">
        <v>698.8</v>
      </c>
      <c r="G25" s="37" t="s">
        <v>7</v>
      </c>
      <c r="H25" s="37" t="s">
        <v>21</v>
      </c>
      <c r="I25" s="37" t="s">
        <v>58</v>
      </c>
      <c r="J25" s="14" t="s">
        <v>20</v>
      </c>
    </row>
    <row r="26" spans="1:10" ht="21" x14ac:dyDescent="0.35">
      <c r="A26" s="34">
        <v>46020</v>
      </c>
      <c r="B26" s="35" t="s">
        <v>449</v>
      </c>
      <c r="C26" s="35" t="s">
        <v>17</v>
      </c>
      <c r="D26" s="35" t="s">
        <v>36</v>
      </c>
      <c r="E26" s="35" t="s">
        <v>278</v>
      </c>
      <c r="F26" s="36">
        <v>340</v>
      </c>
      <c r="G26" s="37" t="s">
        <v>7</v>
      </c>
      <c r="H26" s="37" t="s">
        <v>21</v>
      </c>
      <c r="I26" s="37" t="s">
        <v>297</v>
      </c>
      <c r="J26" s="14" t="s">
        <v>20</v>
      </c>
    </row>
    <row r="27" spans="1:10" s="14" customFormat="1" ht="21" x14ac:dyDescent="0.35">
      <c r="A27" s="34">
        <v>46021</v>
      </c>
      <c r="B27" s="35" t="s">
        <v>452</v>
      </c>
      <c r="C27" s="35" t="s">
        <v>17</v>
      </c>
      <c r="D27" s="35" t="s">
        <v>36</v>
      </c>
      <c r="E27" s="35" t="s">
        <v>288</v>
      </c>
      <c r="F27" s="36">
        <v>800.01</v>
      </c>
      <c r="G27" s="37" t="s">
        <v>7</v>
      </c>
      <c r="H27" s="37" t="s">
        <v>21</v>
      </c>
      <c r="I27" s="37" t="s">
        <v>297</v>
      </c>
      <c r="J27" s="14" t="s">
        <v>20</v>
      </c>
    </row>
    <row r="28" spans="1:10" s="14" customFormat="1" ht="21" x14ac:dyDescent="0.35">
      <c r="A28" s="34"/>
      <c r="B28" s="35"/>
      <c r="C28" s="35"/>
      <c r="D28" s="35"/>
      <c r="E28" s="35"/>
      <c r="F28" s="36"/>
      <c r="G28" s="37"/>
      <c r="H28" s="37"/>
      <c r="I28" s="37"/>
    </row>
    <row r="29" spans="1:10" s="14" customFormat="1" ht="21" x14ac:dyDescent="0.35">
      <c r="A29" s="34"/>
      <c r="B29" s="35"/>
      <c r="C29" s="35"/>
      <c r="D29" s="35"/>
      <c r="E29" s="35"/>
      <c r="F29" s="36"/>
      <c r="G29" s="37"/>
      <c r="H29" s="37"/>
      <c r="I29" s="37"/>
    </row>
    <row r="30" spans="1:10" ht="21" x14ac:dyDescent="0.35">
      <c r="A30" s="34"/>
      <c r="B30" s="35"/>
      <c r="C30" s="35"/>
      <c r="D30" s="35"/>
      <c r="E30" s="35"/>
      <c r="F30" s="36"/>
      <c r="G30" s="37"/>
      <c r="H30" s="37"/>
      <c r="I30" s="37"/>
      <c r="J30" s="14"/>
    </row>
    <row r="31" spans="1:10" ht="21" x14ac:dyDescent="0.35">
      <c r="A31" s="34"/>
      <c r="B31" s="45" t="s">
        <v>8</v>
      </c>
      <c r="C31" s="45"/>
      <c r="D31" s="45"/>
      <c r="E31" s="45"/>
      <c r="F31" s="43">
        <f>SUM(F3:F27)</f>
        <v>22270.359999999997</v>
      </c>
      <c r="G31" s="37"/>
      <c r="H31" s="37"/>
      <c r="I31" s="37"/>
      <c r="J31" s="14"/>
    </row>
    <row r="32" spans="1:10" ht="21" x14ac:dyDescent="0.35">
      <c r="A32" s="70" t="s">
        <v>17</v>
      </c>
      <c r="B32" s="71"/>
      <c r="C32" s="71"/>
      <c r="D32" s="71"/>
      <c r="E32" s="71"/>
      <c r="F32" s="71"/>
      <c r="G32" s="71"/>
      <c r="H32" s="72"/>
      <c r="I32" s="39"/>
      <c r="J32" s="14"/>
    </row>
    <row r="33" spans="1:10" ht="21" x14ac:dyDescent="0.35">
      <c r="A33" s="32" t="s">
        <v>1</v>
      </c>
      <c r="B33" s="32" t="s">
        <v>2</v>
      </c>
      <c r="C33" s="32" t="s">
        <v>31</v>
      </c>
      <c r="D33" s="32" t="s">
        <v>32</v>
      </c>
      <c r="E33" s="32" t="s">
        <v>273</v>
      </c>
      <c r="F33" s="32" t="s">
        <v>3</v>
      </c>
      <c r="G33" s="32" t="s">
        <v>4</v>
      </c>
      <c r="H33" s="33" t="s">
        <v>5</v>
      </c>
      <c r="I33" s="46" t="s">
        <v>6</v>
      </c>
      <c r="J33" s="14"/>
    </row>
    <row r="34" spans="1:10" ht="21" x14ac:dyDescent="0.35">
      <c r="A34" s="51">
        <v>45992</v>
      </c>
      <c r="B34" s="52" t="s">
        <v>426</v>
      </c>
      <c r="C34" s="52" t="s">
        <v>61</v>
      </c>
      <c r="D34" s="52" t="s">
        <v>36</v>
      </c>
      <c r="E34" s="64" t="s">
        <v>278</v>
      </c>
      <c r="F34" s="54">
        <v>350</v>
      </c>
      <c r="G34" s="37" t="s">
        <v>7</v>
      </c>
      <c r="H34" s="44" t="s">
        <v>21</v>
      </c>
      <c r="I34" s="49" t="s">
        <v>12</v>
      </c>
      <c r="J34" s="14" t="s">
        <v>20</v>
      </c>
    </row>
    <row r="35" spans="1:10" s="14" customFormat="1" ht="21" x14ac:dyDescent="0.35">
      <c r="A35" s="51">
        <v>45992</v>
      </c>
      <c r="B35" s="52" t="s">
        <v>383</v>
      </c>
      <c r="C35" s="52" t="s">
        <v>61</v>
      </c>
      <c r="D35" s="52" t="s">
        <v>36</v>
      </c>
      <c r="E35" s="64" t="s">
        <v>278</v>
      </c>
      <c r="F35" s="54">
        <v>560</v>
      </c>
      <c r="G35" s="37" t="s">
        <v>7</v>
      </c>
      <c r="H35" s="44" t="s">
        <v>21</v>
      </c>
      <c r="I35" s="49" t="s">
        <v>24</v>
      </c>
      <c r="J35" s="14" t="s">
        <v>20</v>
      </c>
    </row>
    <row r="36" spans="1:10" s="14" customFormat="1" ht="21" x14ac:dyDescent="0.35">
      <c r="A36" s="51">
        <v>45992</v>
      </c>
      <c r="B36" s="52" t="s">
        <v>383</v>
      </c>
      <c r="C36" s="52" t="s">
        <v>61</v>
      </c>
      <c r="D36" s="52" t="s">
        <v>36</v>
      </c>
      <c r="E36" s="64" t="s">
        <v>288</v>
      </c>
      <c r="F36" s="54">
        <v>1150</v>
      </c>
      <c r="G36" s="37" t="s">
        <v>7</v>
      </c>
      <c r="H36" s="44" t="s">
        <v>21</v>
      </c>
      <c r="I36" s="49" t="s">
        <v>13</v>
      </c>
      <c r="J36" s="14" t="s">
        <v>20</v>
      </c>
    </row>
    <row r="37" spans="1:10" ht="21" x14ac:dyDescent="0.35">
      <c r="A37" s="51">
        <v>45992</v>
      </c>
      <c r="B37" s="52" t="s">
        <v>47</v>
      </c>
      <c r="C37" s="52" t="s">
        <v>37</v>
      </c>
      <c r="D37" s="52" t="s">
        <v>36</v>
      </c>
      <c r="E37" s="64" t="s">
        <v>276</v>
      </c>
      <c r="F37" s="54">
        <v>140.66</v>
      </c>
      <c r="G37" s="37" t="s">
        <v>7</v>
      </c>
      <c r="H37" s="44" t="s">
        <v>21</v>
      </c>
      <c r="I37" s="49" t="s">
        <v>28</v>
      </c>
      <c r="J37" s="19" t="s">
        <v>20</v>
      </c>
    </row>
    <row r="38" spans="1:10" s="14" customFormat="1" ht="21" x14ac:dyDescent="0.35">
      <c r="A38" s="51">
        <v>45992</v>
      </c>
      <c r="B38" s="52" t="s">
        <v>274</v>
      </c>
      <c r="C38" s="52" t="s">
        <v>37</v>
      </c>
      <c r="D38" s="52" t="s">
        <v>36</v>
      </c>
      <c r="E38" s="64" t="s">
        <v>285</v>
      </c>
      <c r="F38" s="54">
        <v>622</v>
      </c>
      <c r="G38" s="37" t="s">
        <v>7</v>
      </c>
      <c r="H38" s="44" t="s">
        <v>21</v>
      </c>
      <c r="I38" s="49" t="s">
        <v>28</v>
      </c>
      <c r="J38" s="14" t="s">
        <v>20</v>
      </c>
    </row>
    <row r="39" spans="1:10" s="14" customFormat="1" ht="21" x14ac:dyDescent="0.35">
      <c r="A39" s="51">
        <v>45992</v>
      </c>
      <c r="B39" s="52" t="s">
        <v>427</v>
      </c>
      <c r="C39" s="52" t="s">
        <v>41</v>
      </c>
      <c r="D39" s="52" t="s">
        <v>36</v>
      </c>
      <c r="E39" s="64" t="s">
        <v>288</v>
      </c>
      <c r="F39" s="54">
        <v>420</v>
      </c>
      <c r="G39" s="37" t="s">
        <v>7</v>
      </c>
      <c r="H39" s="44" t="s">
        <v>21</v>
      </c>
      <c r="I39" s="49"/>
      <c r="J39" s="14" t="s">
        <v>20</v>
      </c>
    </row>
    <row r="40" spans="1:10" s="14" customFormat="1" ht="21" x14ac:dyDescent="0.35">
      <c r="A40" s="34">
        <v>45994</v>
      </c>
      <c r="B40" s="35" t="s">
        <v>47</v>
      </c>
      <c r="C40" s="35" t="s">
        <v>37</v>
      </c>
      <c r="D40" s="35" t="s">
        <v>36</v>
      </c>
      <c r="E40" s="35" t="s">
        <v>275</v>
      </c>
      <c r="F40" s="36">
        <v>611.25</v>
      </c>
      <c r="G40" s="37" t="s">
        <v>7</v>
      </c>
      <c r="H40" s="37" t="s">
        <v>23</v>
      </c>
      <c r="I40" s="37" t="s">
        <v>201</v>
      </c>
      <c r="J40" s="14" t="s">
        <v>20</v>
      </c>
    </row>
    <row r="41" spans="1:10" s="14" customFormat="1" ht="21" x14ac:dyDescent="0.35">
      <c r="A41" s="34">
        <v>45994</v>
      </c>
      <c r="B41" s="35" t="s">
        <v>428</v>
      </c>
      <c r="C41" s="35" t="s">
        <v>41</v>
      </c>
      <c r="D41" s="35" t="s">
        <v>36</v>
      </c>
      <c r="E41" s="35" t="s">
        <v>294</v>
      </c>
      <c r="F41" s="36">
        <v>2268.66</v>
      </c>
      <c r="G41" s="37" t="s">
        <v>7</v>
      </c>
      <c r="H41" s="37" t="s">
        <v>46</v>
      </c>
      <c r="I41" s="37" t="s">
        <v>429</v>
      </c>
      <c r="J41" s="14" t="s">
        <v>20</v>
      </c>
    </row>
    <row r="42" spans="1:10" s="14" customFormat="1" ht="21" x14ac:dyDescent="0.35">
      <c r="A42" s="34">
        <v>45995</v>
      </c>
      <c r="B42" s="35" t="s">
        <v>430</v>
      </c>
      <c r="C42" s="35" t="s">
        <v>41</v>
      </c>
      <c r="D42" s="35" t="s">
        <v>36</v>
      </c>
      <c r="E42" s="35"/>
      <c r="F42" s="36">
        <v>3000</v>
      </c>
      <c r="G42" s="37" t="s">
        <v>7</v>
      </c>
      <c r="H42" s="37" t="s">
        <v>46</v>
      </c>
      <c r="I42" s="37" t="s">
        <v>50</v>
      </c>
      <c r="J42" s="14" t="s">
        <v>20</v>
      </c>
    </row>
    <row r="43" spans="1:10" s="14" customFormat="1" ht="21" x14ac:dyDescent="0.35">
      <c r="A43" s="34">
        <v>45996</v>
      </c>
      <c r="B43" s="35" t="s">
        <v>431</v>
      </c>
      <c r="C43" s="35" t="s">
        <v>61</v>
      </c>
      <c r="D43" s="35" t="s">
        <v>36</v>
      </c>
      <c r="E43" s="35" t="s">
        <v>278</v>
      </c>
      <c r="F43" s="36">
        <v>460</v>
      </c>
      <c r="G43" s="37" t="s">
        <v>7</v>
      </c>
      <c r="H43" s="37" t="s">
        <v>23</v>
      </c>
      <c r="I43" s="37" t="s">
        <v>259</v>
      </c>
      <c r="J43" s="14" t="s">
        <v>20</v>
      </c>
    </row>
    <row r="44" spans="1:10" s="14" customFormat="1" ht="21" x14ac:dyDescent="0.35">
      <c r="A44" s="34">
        <v>45996</v>
      </c>
      <c r="B44" s="35" t="s">
        <v>433</v>
      </c>
      <c r="C44" s="35" t="s">
        <v>61</v>
      </c>
      <c r="D44" s="35" t="s">
        <v>36</v>
      </c>
      <c r="E44" s="35" t="s">
        <v>278</v>
      </c>
      <c r="F44" s="36">
        <v>350</v>
      </c>
      <c r="G44" s="37" t="s">
        <v>7</v>
      </c>
      <c r="H44" s="37" t="s">
        <v>23</v>
      </c>
      <c r="I44" s="37" t="s">
        <v>12</v>
      </c>
      <c r="J44" s="14" t="s">
        <v>20</v>
      </c>
    </row>
    <row r="45" spans="1:10" s="14" customFormat="1" ht="21" x14ac:dyDescent="0.35">
      <c r="A45" s="34">
        <v>45999</v>
      </c>
      <c r="B45" s="35" t="s">
        <v>47</v>
      </c>
      <c r="C45" s="35" t="s">
        <v>37</v>
      </c>
      <c r="D45" s="35" t="s">
        <v>36</v>
      </c>
      <c r="E45" s="35" t="s">
        <v>278</v>
      </c>
      <c r="F45" s="36">
        <v>126</v>
      </c>
      <c r="G45" s="37" t="s">
        <v>7</v>
      </c>
      <c r="H45" s="37" t="s">
        <v>21</v>
      </c>
      <c r="I45" s="37" t="s">
        <v>24</v>
      </c>
      <c r="J45" s="14" t="s">
        <v>20</v>
      </c>
    </row>
    <row r="46" spans="1:10" s="14" customFormat="1" ht="21" x14ac:dyDescent="0.35">
      <c r="A46" s="34">
        <v>45999</v>
      </c>
      <c r="B46" s="35" t="s">
        <v>47</v>
      </c>
      <c r="C46" s="35" t="s">
        <v>37</v>
      </c>
      <c r="D46" s="35" t="s">
        <v>36</v>
      </c>
      <c r="E46" s="35" t="s">
        <v>282</v>
      </c>
      <c r="F46" s="36">
        <v>177.75</v>
      </c>
      <c r="G46" s="37" t="s">
        <v>7</v>
      </c>
      <c r="H46" s="37" t="s">
        <v>21</v>
      </c>
      <c r="I46" s="37" t="s">
        <v>43</v>
      </c>
      <c r="J46" s="14" t="s">
        <v>20</v>
      </c>
    </row>
    <row r="47" spans="1:10" s="14" customFormat="1" ht="21" x14ac:dyDescent="0.35">
      <c r="A47" s="34">
        <v>45999</v>
      </c>
      <c r="B47" s="35" t="s">
        <v>47</v>
      </c>
      <c r="C47" s="35" t="s">
        <v>37</v>
      </c>
      <c r="D47" s="35" t="s">
        <v>36</v>
      </c>
      <c r="E47" s="35" t="s">
        <v>278</v>
      </c>
      <c r="F47" s="36">
        <v>302.39999999999998</v>
      </c>
      <c r="G47" s="37" t="s">
        <v>7</v>
      </c>
      <c r="H47" s="37" t="s">
        <v>21</v>
      </c>
      <c r="I47" s="37" t="s">
        <v>297</v>
      </c>
      <c r="J47" s="14" t="s">
        <v>20</v>
      </c>
    </row>
    <row r="48" spans="1:10" ht="21" x14ac:dyDescent="0.35">
      <c r="A48" s="34">
        <v>45999</v>
      </c>
      <c r="B48" s="35" t="s">
        <v>376</v>
      </c>
      <c r="C48" s="35" t="s">
        <v>37</v>
      </c>
      <c r="D48" s="35" t="s">
        <v>36</v>
      </c>
      <c r="E48" s="35" t="s">
        <v>278</v>
      </c>
      <c r="F48" s="36">
        <v>220.9</v>
      </c>
      <c r="G48" s="37" t="s">
        <v>7</v>
      </c>
      <c r="H48" s="37" t="s">
        <v>21</v>
      </c>
      <c r="I48" s="37" t="s">
        <v>22</v>
      </c>
      <c r="J48" s="14" t="s">
        <v>20</v>
      </c>
    </row>
    <row r="49" spans="1:10" ht="21" x14ac:dyDescent="0.35">
      <c r="A49" s="34">
        <v>45999</v>
      </c>
      <c r="B49" s="35" t="s">
        <v>377</v>
      </c>
      <c r="C49" s="35" t="s">
        <v>40</v>
      </c>
      <c r="D49" s="35" t="s">
        <v>36</v>
      </c>
      <c r="E49" s="35" t="s">
        <v>294</v>
      </c>
      <c r="F49" s="36">
        <v>526.66</v>
      </c>
      <c r="G49" s="37" t="s">
        <v>7</v>
      </c>
      <c r="H49" s="37"/>
      <c r="I49" s="37" t="s">
        <v>28</v>
      </c>
      <c r="J49" s="14" t="s">
        <v>20</v>
      </c>
    </row>
    <row r="50" spans="1:10" ht="21" x14ac:dyDescent="0.35">
      <c r="A50" s="34">
        <v>45999</v>
      </c>
      <c r="B50" s="35" t="s">
        <v>47</v>
      </c>
      <c r="C50" s="35" t="s">
        <v>37</v>
      </c>
      <c r="D50" s="35" t="s">
        <v>434</v>
      </c>
      <c r="E50" s="35" t="s">
        <v>281</v>
      </c>
      <c r="F50" s="36">
        <v>155.63</v>
      </c>
      <c r="G50" s="37" t="s">
        <v>7</v>
      </c>
      <c r="H50" s="37" t="s">
        <v>21</v>
      </c>
      <c r="I50" s="37" t="s">
        <v>219</v>
      </c>
      <c r="J50" s="14" t="s">
        <v>20</v>
      </c>
    </row>
    <row r="51" spans="1:10" ht="21" x14ac:dyDescent="0.35">
      <c r="A51" s="34">
        <v>46000</v>
      </c>
      <c r="B51" s="35" t="s">
        <v>47</v>
      </c>
      <c r="C51" s="35" t="s">
        <v>37</v>
      </c>
      <c r="D51" s="35" t="s">
        <v>36</v>
      </c>
      <c r="E51" s="35" t="s">
        <v>275</v>
      </c>
      <c r="F51" s="36">
        <v>571.5</v>
      </c>
      <c r="G51" s="37" t="s">
        <v>7</v>
      </c>
      <c r="H51" s="37" t="s">
        <v>21</v>
      </c>
      <c r="I51" s="37" t="s">
        <v>11</v>
      </c>
      <c r="J51" s="14" t="s">
        <v>20</v>
      </c>
    </row>
    <row r="52" spans="1:10" s="14" customFormat="1" ht="21" x14ac:dyDescent="0.35">
      <c r="A52" s="34">
        <v>46000</v>
      </c>
      <c r="B52" s="35" t="s">
        <v>437</v>
      </c>
      <c r="C52" s="35" t="s">
        <v>61</v>
      </c>
      <c r="D52" s="35" t="s">
        <v>36</v>
      </c>
      <c r="E52" s="35" t="s">
        <v>278</v>
      </c>
      <c r="F52" s="36">
        <v>250</v>
      </c>
      <c r="G52" s="37" t="s">
        <v>7</v>
      </c>
      <c r="H52" s="37"/>
      <c r="I52" s="37" t="s">
        <v>12</v>
      </c>
      <c r="J52" s="14" t="s">
        <v>20</v>
      </c>
    </row>
    <row r="53" spans="1:10" ht="21" x14ac:dyDescent="0.35">
      <c r="A53" s="34">
        <v>46001</v>
      </c>
      <c r="B53" s="35" t="s">
        <v>378</v>
      </c>
      <c r="C53" s="35" t="s">
        <v>61</v>
      </c>
      <c r="D53" s="35" t="s">
        <v>36</v>
      </c>
      <c r="E53" s="35" t="s">
        <v>285</v>
      </c>
      <c r="F53" s="36">
        <v>1374</v>
      </c>
      <c r="G53" s="37" t="s">
        <v>7</v>
      </c>
      <c r="H53" s="37" t="s">
        <v>21</v>
      </c>
      <c r="I53" s="37" t="s">
        <v>9</v>
      </c>
      <c r="J53" s="14" t="s">
        <v>20</v>
      </c>
    </row>
    <row r="54" spans="1:10" ht="21" x14ac:dyDescent="0.35">
      <c r="A54" s="34">
        <v>46001</v>
      </c>
      <c r="B54" s="35" t="s">
        <v>47</v>
      </c>
      <c r="C54" s="35" t="s">
        <v>37</v>
      </c>
      <c r="D54" s="35" t="s">
        <v>36</v>
      </c>
      <c r="E54" s="35" t="s">
        <v>279</v>
      </c>
      <c r="F54" s="36">
        <v>571.89</v>
      </c>
      <c r="G54" s="37" t="s">
        <v>7</v>
      </c>
      <c r="H54" s="37" t="s">
        <v>19</v>
      </c>
      <c r="I54" s="37" t="s">
        <v>11</v>
      </c>
      <c r="J54" s="14" t="s">
        <v>20</v>
      </c>
    </row>
    <row r="55" spans="1:10" s="14" customFormat="1" ht="21" x14ac:dyDescent="0.35">
      <c r="A55" s="34">
        <v>46001</v>
      </c>
      <c r="B55" s="35" t="s">
        <v>47</v>
      </c>
      <c r="C55" s="35" t="s">
        <v>37</v>
      </c>
      <c r="D55" s="35" t="s">
        <v>36</v>
      </c>
      <c r="E55" s="35" t="s">
        <v>279</v>
      </c>
      <c r="F55" s="36">
        <v>149.9</v>
      </c>
      <c r="G55" s="37" t="s">
        <v>7</v>
      </c>
      <c r="H55" s="37" t="s">
        <v>21</v>
      </c>
      <c r="I55" s="37" t="s">
        <v>11</v>
      </c>
      <c r="J55" s="14" t="s">
        <v>20</v>
      </c>
    </row>
    <row r="56" spans="1:10" ht="21" x14ac:dyDescent="0.35">
      <c r="A56" s="34">
        <v>46002</v>
      </c>
      <c r="B56" s="35" t="s">
        <v>380</v>
      </c>
      <c r="C56" s="35" t="s">
        <v>37</v>
      </c>
      <c r="D56" s="35" t="s">
        <v>36</v>
      </c>
      <c r="E56" s="35" t="s">
        <v>285</v>
      </c>
      <c r="F56" s="36">
        <v>516.66</v>
      </c>
      <c r="G56" s="37" t="s">
        <v>7</v>
      </c>
      <c r="H56" s="37" t="s">
        <v>21</v>
      </c>
      <c r="I56" s="37" t="s">
        <v>11</v>
      </c>
      <c r="J56" s="14" t="s">
        <v>20</v>
      </c>
    </row>
    <row r="57" spans="1:10" ht="21" x14ac:dyDescent="0.35">
      <c r="A57" s="34">
        <v>46002</v>
      </c>
      <c r="B57" s="35" t="s">
        <v>310</v>
      </c>
      <c r="C57" s="35" t="s">
        <v>41</v>
      </c>
      <c r="D57" s="35" t="s">
        <v>36</v>
      </c>
      <c r="E57" s="35" t="s">
        <v>279</v>
      </c>
      <c r="F57" s="36">
        <v>1962.5</v>
      </c>
      <c r="G57" s="37" t="s">
        <v>7</v>
      </c>
      <c r="H57" s="37" t="s">
        <v>21</v>
      </c>
      <c r="I57" s="37" t="s">
        <v>28</v>
      </c>
      <c r="J57" s="14" t="s">
        <v>20</v>
      </c>
    </row>
    <row r="58" spans="1:10" s="14" customFormat="1" ht="21" x14ac:dyDescent="0.35">
      <c r="A58" s="34">
        <v>46002</v>
      </c>
      <c r="B58" s="35" t="s">
        <v>438</v>
      </c>
      <c r="C58" s="35" t="s">
        <v>61</v>
      </c>
      <c r="D58" s="35" t="s">
        <v>36</v>
      </c>
      <c r="E58" s="35" t="s">
        <v>77</v>
      </c>
      <c r="F58" s="36">
        <v>700</v>
      </c>
      <c r="G58" s="37" t="s">
        <v>7</v>
      </c>
      <c r="H58" s="37" t="s">
        <v>21</v>
      </c>
      <c r="I58" s="37" t="s">
        <v>69</v>
      </c>
      <c r="J58" s="14" t="s">
        <v>20</v>
      </c>
    </row>
    <row r="59" spans="1:10" ht="21" x14ac:dyDescent="0.35">
      <c r="A59" s="34">
        <v>46006</v>
      </c>
      <c r="B59" s="35" t="s">
        <v>381</v>
      </c>
      <c r="C59" s="35" t="s">
        <v>61</v>
      </c>
      <c r="D59" s="35" t="s">
        <v>36</v>
      </c>
      <c r="E59" s="35" t="s">
        <v>288</v>
      </c>
      <c r="F59" s="36">
        <v>427.26</v>
      </c>
      <c r="G59" s="37" t="s">
        <v>7</v>
      </c>
      <c r="H59" s="37" t="s">
        <v>21</v>
      </c>
      <c r="I59" s="37" t="s">
        <v>13</v>
      </c>
      <c r="J59" s="14" t="s">
        <v>20</v>
      </c>
    </row>
    <row r="60" spans="1:10" s="14" customFormat="1" ht="21" x14ac:dyDescent="0.35">
      <c r="A60" s="34">
        <v>46003</v>
      </c>
      <c r="B60" s="35" t="s">
        <v>439</v>
      </c>
      <c r="C60" s="35" t="s">
        <v>37</v>
      </c>
      <c r="D60" s="35" t="s">
        <v>36</v>
      </c>
      <c r="E60" s="35"/>
      <c r="F60" s="36">
        <v>210.74</v>
      </c>
      <c r="G60" s="37" t="s">
        <v>7</v>
      </c>
      <c r="H60" s="37" t="s">
        <v>21</v>
      </c>
      <c r="I60" s="37"/>
    </row>
    <row r="61" spans="1:10" s="14" customFormat="1" ht="21" x14ac:dyDescent="0.35">
      <c r="A61" s="34">
        <v>46003</v>
      </c>
      <c r="B61" s="35" t="s">
        <v>47</v>
      </c>
      <c r="C61" s="35" t="s">
        <v>37</v>
      </c>
      <c r="D61" s="35" t="s">
        <v>36</v>
      </c>
      <c r="E61" s="35"/>
      <c r="F61" s="36">
        <v>245.47</v>
      </c>
      <c r="G61" s="37" t="s">
        <v>7</v>
      </c>
      <c r="H61" s="37" t="s">
        <v>19</v>
      </c>
      <c r="I61" s="37" t="s">
        <v>10</v>
      </c>
      <c r="J61" s="14" t="s">
        <v>20</v>
      </c>
    </row>
    <row r="62" spans="1:10" s="14" customFormat="1" ht="21" x14ac:dyDescent="0.35">
      <c r="A62" s="34">
        <v>46003</v>
      </c>
      <c r="B62" s="35" t="s">
        <v>47</v>
      </c>
      <c r="C62" s="35" t="s">
        <v>37</v>
      </c>
      <c r="D62" s="35" t="s">
        <v>36</v>
      </c>
      <c r="E62" s="35" t="s">
        <v>282</v>
      </c>
      <c r="F62" s="36">
        <v>373.22</v>
      </c>
      <c r="G62" s="37" t="s">
        <v>7</v>
      </c>
      <c r="H62" s="37" t="s">
        <v>19</v>
      </c>
      <c r="I62" s="37" t="s">
        <v>22</v>
      </c>
      <c r="J62" s="14" t="s">
        <v>20</v>
      </c>
    </row>
    <row r="63" spans="1:10" s="14" customFormat="1" ht="21" x14ac:dyDescent="0.35">
      <c r="A63" s="34">
        <v>46004</v>
      </c>
      <c r="B63" s="35" t="s">
        <v>440</v>
      </c>
      <c r="C63" s="35" t="s">
        <v>37</v>
      </c>
      <c r="D63" s="35" t="s">
        <v>36</v>
      </c>
      <c r="E63" s="35" t="s">
        <v>278</v>
      </c>
      <c r="F63" s="36">
        <v>2700</v>
      </c>
      <c r="G63" s="37" t="s">
        <v>7</v>
      </c>
      <c r="H63" s="37" t="s">
        <v>23</v>
      </c>
      <c r="I63" s="37" t="s">
        <v>50</v>
      </c>
      <c r="J63" s="14" t="s">
        <v>20</v>
      </c>
    </row>
    <row r="64" spans="1:10" ht="21" x14ac:dyDescent="0.35">
      <c r="A64" s="34">
        <v>46006</v>
      </c>
      <c r="B64" s="35" t="s">
        <v>382</v>
      </c>
      <c r="C64" s="35" t="s">
        <v>37</v>
      </c>
      <c r="D64" s="35" t="s">
        <v>36</v>
      </c>
      <c r="E64" s="35" t="s">
        <v>284</v>
      </c>
      <c r="F64" s="36">
        <v>820</v>
      </c>
      <c r="G64" s="37" t="s">
        <v>7</v>
      </c>
      <c r="H64" s="37" t="s">
        <v>21</v>
      </c>
      <c r="I64" s="37" t="s">
        <v>11</v>
      </c>
      <c r="J64" s="14" t="s">
        <v>20</v>
      </c>
    </row>
    <row r="65" spans="1:10" ht="21" x14ac:dyDescent="0.35">
      <c r="A65" s="34">
        <v>46006</v>
      </c>
      <c r="B65" s="35" t="s">
        <v>290</v>
      </c>
      <c r="C65" s="35" t="s">
        <v>37</v>
      </c>
      <c r="D65" s="35" t="s">
        <v>36</v>
      </c>
      <c r="E65" s="35" t="s">
        <v>275</v>
      </c>
      <c r="F65" s="36">
        <v>501.62</v>
      </c>
      <c r="G65" s="37" t="s">
        <v>7</v>
      </c>
      <c r="H65" s="37" t="s">
        <v>21</v>
      </c>
      <c r="I65" s="37" t="s">
        <v>26</v>
      </c>
      <c r="J65" s="14" t="s">
        <v>20</v>
      </c>
    </row>
    <row r="66" spans="1:10" ht="21" x14ac:dyDescent="0.35">
      <c r="A66" s="34">
        <v>46006</v>
      </c>
      <c r="B66" s="35" t="s">
        <v>383</v>
      </c>
      <c r="C66" s="35" t="s">
        <v>41</v>
      </c>
      <c r="D66" s="35" t="s">
        <v>36</v>
      </c>
      <c r="E66" s="35" t="s">
        <v>275</v>
      </c>
      <c r="F66" s="36">
        <v>2050</v>
      </c>
      <c r="G66" s="37" t="s">
        <v>7</v>
      </c>
      <c r="H66" s="37" t="s">
        <v>21</v>
      </c>
      <c r="I66" s="37" t="s">
        <v>45</v>
      </c>
      <c r="J66" s="14" t="s">
        <v>20</v>
      </c>
    </row>
    <row r="67" spans="1:10" ht="21" x14ac:dyDescent="0.35">
      <c r="A67" s="34">
        <v>46006</v>
      </c>
      <c r="B67" s="35" t="s">
        <v>379</v>
      </c>
      <c r="C67" s="35" t="s">
        <v>37</v>
      </c>
      <c r="D67" s="35" t="s">
        <v>36</v>
      </c>
      <c r="E67" s="35" t="s">
        <v>284</v>
      </c>
      <c r="F67" s="36">
        <v>323.99</v>
      </c>
      <c r="G67" s="37" t="s">
        <v>7</v>
      </c>
      <c r="H67" s="35" t="s">
        <v>21</v>
      </c>
      <c r="I67" s="37" t="s">
        <v>319</v>
      </c>
      <c r="J67" s="14" t="s">
        <v>20</v>
      </c>
    </row>
    <row r="68" spans="1:10" s="14" customFormat="1" ht="21" x14ac:dyDescent="0.35">
      <c r="A68" s="34">
        <v>46006</v>
      </c>
      <c r="B68" s="35" t="s">
        <v>290</v>
      </c>
      <c r="C68" s="35" t="s">
        <v>37</v>
      </c>
      <c r="D68" s="35" t="s">
        <v>36</v>
      </c>
      <c r="E68" s="35" t="s">
        <v>282</v>
      </c>
      <c r="F68" s="36">
        <v>276</v>
      </c>
      <c r="G68" s="37" t="s">
        <v>7</v>
      </c>
      <c r="H68" s="35"/>
      <c r="I68" s="37" t="s">
        <v>12</v>
      </c>
      <c r="J68" s="14" t="s">
        <v>20</v>
      </c>
    </row>
    <row r="69" spans="1:10" s="14" customFormat="1" ht="21" x14ac:dyDescent="0.35">
      <c r="A69" s="34">
        <v>46006</v>
      </c>
      <c r="B69" s="35" t="s">
        <v>47</v>
      </c>
      <c r="C69" s="35" t="s">
        <v>37</v>
      </c>
      <c r="D69" s="35" t="s">
        <v>36</v>
      </c>
      <c r="E69" s="35" t="s">
        <v>282</v>
      </c>
      <c r="F69" s="36">
        <v>376.75</v>
      </c>
      <c r="G69" s="37" t="s">
        <v>7</v>
      </c>
      <c r="H69" s="35" t="s">
        <v>21</v>
      </c>
      <c r="I69" s="37" t="s">
        <v>12</v>
      </c>
      <c r="J69" s="14" t="s">
        <v>20</v>
      </c>
    </row>
    <row r="70" spans="1:10" ht="21" x14ac:dyDescent="0.35">
      <c r="A70" s="34">
        <v>46007</v>
      </c>
      <c r="B70" s="35" t="s">
        <v>47</v>
      </c>
      <c r="C70" s="35" t="s">
        <v>37</v>
      </c>
      <c r="D70" s="35" t="s">
        <v>36</v>
      </c>
      <c r="E70" s="35" t="s">
        <v>275</v>
      </c>
      <c r="F70" s="36">
        <v>957.25</v>
      </c>
      <c r="G70" s="37" t="s">
        <v>7</v>
      </c>
      <c r="H70" s="35" t="s">
        <v>21</v>
      </c>
      <c r="I70" s="37" t="s">
        <v>58</v>
      </c>
      <c r="J70" s="14" t="s">
        <v>20</v>
      </c>
    </row>
    <row r="71" spans="1:10" s="14" customFormat="1" ht="21" x14ac:dyDescent="0.35">
      <c r="A71" s="34">
        <v>46007</v>
      </c>
      <c r="B71" s="35" t="s">
        <v>441</v>
      </c>
      <c r="C71" s="35" t="s">
        <v>41</v>
      </c>
      <c r="D71" s="35" t="s">
        <v>36</v>
      </c>
      <c r="E71" s="35" t="s">
        <v>288</v>
      </c>
      <c r="F71" s="36">
        <v>1350</v>
      </c>
      <c r="G71" s="37" t="s">
        <v>7</v>
      </c>
      <c r="H71" s="35" t="s">
        <v>21</v>
      </c>
      <c r="I71" s="37"/>
      <c r="J71" s="14" t="s">
        <v>20</v>
      </c>
    </row>
    <row r="72" spans="1:10" s="14" customFormat="1" ht="21" x14ac:dyDescent="0.35">
      <c r="A72" s="34">
        <v>46007</v>
      </c>
      <c r="B72" s="35" t="s">
        <v>442</v>
      </c>
      <c r="C72" s="35" t="s">
        <v>41</v>
      </c>
      <c r="D72" s="35" t="s">
        <v>36</v>
      </c>
      <c r="E72" s="35" t="s">
        <v>278</v>
      </c>
      <c r="F72" s="36">
        <v>1600</v>
      </c>
      <c r="G72" s="37" t="s">
        <v>7</v>
      </c>
      <c r="H72" s="35" t="s">
        <v>21</v>
      </c>
      <c r="I72" s="37" t="s">
        <v>50</v>
      </c>
      <c r="J72" s="14" t="s">
        <v>20</v>
      </c>
    </row>
    <row r="73" spans="1:10" ht="21" x14ac:dyDescent="0.35">
      <c r="A73" s="34">
        <v>46008</v>
      </c>
      <c r="B73" s="35" t="s">
        <v>47</v>
      </c>
      <c r="C73" s="35" t="s">
        <v>37</v>
      </c>
      <c r="D73" s="35" t="s">
        <v>36</v>
      </c>
      <c r="E73" s="35" t="s">
        <v>281</v>
      </c>
      <c r="F73" s="36">
        <v>733.9</v>
      </c>
      <c r="G73" s="37" t="s">
        <v>7</v>
      </c>
      <c r="H73" s="35" t="s">
        <v>21</v>
      </c>
      <c r="I73" s="37" t="s">
        <v>384</v>
      </c>
      <c r="J73" s="14" t="s">
        <v>20</v>
      </c>
    </row>
    <row r="74" spans="1:10" ht="21" x14ac:dyDescent="0.35">
      <c r="A74" s="34">
        <v>46008</v>
      </c>
      <c r="B74" s="35" t="s">
        <v>385</v>
      </c>
      <c r="C74" s="35" t="s">
        <v>37</v>
      </c>
      <c r="D74" s="35" t="s">
        <v>36</v>
      </c>
      <c r="E74" s="35" t="s">
        <v>285</v>
      </c>
      <c r="F74" s="36">
        <v>340</v>
      </c>
      <c r="G74" s="37" t="s">
        <v>7</v>
      </c>
      <c r="H74" s="35" t="s">
        <v>21</v>
      </c>
      <c r="I74" s="37" t="s">
        <v>45</v>
      </c>
      <c r="J74" s="14" t="s">
        <v>20</v>
      </c>
    </row>
    <row r="75" spans="1:10" ht="21" x14ac:dyDescent="0.35">
      <c r="A75" s="34">
        <v>46008</v>
      </c>
      <c r="B75" s="35" t="s">
        <v>47</v>
      </c>
      <c r="C75" s="35" t="s">
        <v>37</v>
      </c>
      <c r="D75" s="35" t="s">
        <v>36</v>
      </c>
      <c r="E75" s="35" t="s">
        <v>285</v>
      </c>
      <c r="F75" s="36">
        <v>150</v>
      </c>
      <c r="G75" s="37" t="s">
        <v>7</v>
      </c>
      <c r="H75" s="35" t="s">
        <v>21</v>
      </c>
      <c r="I75" s="37" t="s">
        <v>297</v>
      </c>
      <c r="J75" s="14" t="s">
        <v>20</v>
      </c>
    </row>
    <row r="76" spans="1:10" s="14" customFormat="1" ht="21" x14ac:dyDescent="0.35">
      <c r="A76" s="34">
        <v>46008</v>
      </c>
      <c r="B76" s="35" t="s">
        <v>428</v>
      </c>
      <c r="C76" s="35" t="s">
        <v>41</v>
      </c>
      <c r="D76" s="35" t="s">
        <v>36</v>
      </c>
      <c r="E76" s="35" t="s">
        <v>285</v>
      </c>
      <c r="F76" s="36">
        <v>2268.66</v>
      </c>
      <c r="G76" s="37" t="s">
        <v>7</v>
      </c>
      <c r="H76" s="35" t="s">
        <v>21</v>
      </c>
      <c r="I76" s="37" t="s">
        <v>43</v>
      </c>
      <c r="J76" s="14" t="s">
        <v>20</v>
      </c>
    </row>
    <row r="77" spans="1:10" s="14" customFormat="1" ht="21" x14ac:dyDescent="0.35">
      <c r="A77" s="34">
        <v>46008</v>
      </c>
      <c r="B77" s="35" t="s">
        <v>443</v>
      </c>
      <c r="C77" s="35" t="s">
        <v>37</v>
      </c>
      <c r="D77" s="35" t="s">
        <v>36</v>
      </c>
      <c r="E77" s="35" t="s">
        <v>278</v>
      </c>
      <c r="F77" s="36">
        <v>900</v>
      </c>
      <c r="G77" s="37" t="s">
        <v>7</v>
      </c>
      <c r="H77" s="35" t="s">
        <v>21</v>
      </c>
      <c r="I77" s="37" t="s">
        <v>297</v>
      </c>
      <c r="J77" s="14" t="s">
        <v>20</v>
      </c>
    </row>
    <row r="78" spans="1:10" ht="21" x14ac:dyDescent="0.35">
      <c r="A78" s="34">
        <v>46009</v>
      </c>
      <c r="B78" s="35" t="s">
        <v>47</v>
      </c>
      <c r="C78" s="35" t="s">
        <v>37</v>
      </c>
      <c r="D78" s="35" t="s">
        <v>36</v>
      </c>
      <c r="E78" s="35" t="s">
        <v>294</v>
      </c>
      <c r="F78" s="36">
        <v>181.67</v>
      </c>
      <c r="G78" s="37" t="s">
        <v>7</v>
      </c>
      <c r="H78" s="35" t="s">
        <v>21</v>
      </c>
      <c r="I78" s="37" t="s">
        <v>43</v>
      </c>
      <c r="J78" s="14" t="s">
        <v>20</v>
      </c>
    </row>
    <row r="79" spans="1:10" ht="21" x14ac:dyDescent="0.35">
      <c r="A79" s="34">
        <v>46009</v>
      </c>
      <c r="B79" s="35" t="s">
        <v>386</v>
      </c>
      <c r="C79" s="35" t="s">
        <v>88</v>
      </c>
      <c r="D79" s="35" t="s">
        <v>36</v>
      </c>
      <c r="E79" s="35" t="s">
        <v>284</v>
      </c>
      <c r="F79" s="36">
        <v>954.05</v>
      </c>
      <c r="G79" s="37" t="s">
        <v>7</v>
      </c>
      <c r="H79" s="35" t="s">
        <v>21</v>
      </c>
      <c r="I79" s="37" t="s">
        <v>14</v>
      </c>
      <c r="J79" s="14" t="s">
        <v>20</v>
      </c>
    </row>
    <row r="80" spans="1:10" s="14" customFormat="1" ht="21" x14ac:dyDescent="0.35">
      <c r="A80" s="34">
        <v>46009</v>
      </c>
      <c r="B80" s="35" t="s">
        <v>444</v>
      </c>
      <c r="C80" s="35" t="s">
        <v>37</v>
      </c>
      <c r="D80" s="35" t="s">
        <v>36</v>
      </c>
      <c r="E80" s="35" t="s">
        <v>278</v>
      </c>
      <c r="F80" s="36">
        <v>64.650000000000006</v>
      </c>
      <c r="G80" s="37" t="s">
        <v>7</v>
      </c>
      <c r="H80" s="35" t="s">
        <v>21</v>
      </c>
      <c r="I80" s="37" t="s">
        <v>297</v>
      </c>
      <c r="J80" s="14" t="s">
        <v>20</v>
      </c>
    </row>
    <row r="81" spans="1:10" s="14" customFormat="1" ht="21" x14ac:dyDescent="0.35">
      <c r="A81" s="34">
        <v>46009</v>
      </c>
      <c r="B81" s="35" t="s">
        <v>445</v>
      </c>
      <c r="C81" s="35" t="s">
        <v>41</v>
      </c>
      <c r="D81" s="35" t="s">
        <v>36</v>
      </c>
      <c r="E81" s="35" t="s">
        <v>278</v>
      </c>
      <c r="F81" s="36">
        <v>300</v>
      </c>
      <c r="G81" s="37" t="s">
        <v>7</v>
      </c>
      <c r="H81" s="35" t="s">
        <v>21</v>
      </c>
      <c r="I81" s="37" t="s">
        <v>50</v>
      </c>
      <c r="J81" s="14" t="s">
        <v>20</v>
      </c>
    </row>
    <row r="82" spans="1:10" ht="21" x14ac:dyDescent="0.35">
      <c r="A82" s="34">
        <v>46008</v>
      </c>
      <c r="B82" s="35" t="s">
        <v>380</v>
      </c>
      <c r="C82" s="35" t="s">
        <v>37</v>
      </c>
      <c r="D82" s="35" t="s">
        <v>36</v>
      </c>
      <c r="E82" s="35" t="s">
        <v>279</v>
      </c>
      <c r="F82" s="36">
        <v>860.75</v>
      </c>
      <c r="G82" s="37" t="s">
        <v>7</v>
      </c>
      <c r="H82" s="35" t="s">
        <v>21</v>
      </c>
      <c r="I82" s="37" t="s">
        <v>11</v>
      </c>
      <c r="J82" s="14" t="s">
        <v>20</v>
      </c>
    </row>
    <row r="83" spans="1:10" ht="21" x14ac:dyDescent="0.35">
      <c r="A83" s="34">
        <v>46010</v>
      </c>
      <c r="B83" s="35" t="s">
        <v>380</v>
      </c>
      <c r="C83" s="35" t="s">
        <v>37</v>
      </c>
      <c r="D83" s="35" t="s">
        <v>36</v>
      </c>
      <c r="E83" s="35" t="s">
        <v>284</v>
      </c>
      <c r="F83" s="36">
        <v>656.66</v>
      </c>
      <c r="G83" s="37" t="s">
        <v>7</v>
      </c>
      <c r="H83" s="35" t="s">
        <v>21</v>
      </c>
      <c r="I83" s="37" t="s">
        <v>11</v>
      </c>
      <c r="J83" s="14" t="s">
        <v>20</v>
      </c>
    </row>
    <row r="84" spans="1:10" s="14" customFormat="1" ht="21" x14ac:dyDescent="0.35">
      <c r="A84" s="34">
        <v>46010</v>
      </c>
      <c r="B84" s="35" t="s">
        <v>446</v>
      </c>
      <c r="C84" s="35" t="s">
        <v>37</v>
      </c>
      <c r="D84" s="35" t="s">
        <v>36</v>
      </c>
      <c r="E84" s="35" t="s">
        <v>278</v>
      </c>
      <c r="F84" s="36">
        <v>160</v>
      </c>
      <c r="G84" s="37" t="s">
        <v>7</v>
      </c>
      <c r="H84" s="35" t="s">
        <v>21</v>
      </c>
      <c r="I84" s="37" t="s">
        <v>297</v>
      </c>
      <c r="J84" s="14" t="s">
        <v>20</v>
      </c>
    </row>
    <row r="85" spans="1:10" s="14" customFormat="1" ht="21" x14ac:dyDescent="0.35">
      <c r="A85" s="34">
        <v>46010</v>
      </c>
      <c r="B85" s="35" t="s">
        <v>447</v>
      </c>
      <c r="C85" s="35" t="s">
        <v>37</v>
      </c>
      <c r="D85" s="35" t="s">
        <v>36</v>
      </c>
      <c r="E85" s="35"/>
      <c r="F85" s="36">
        <v>900</v>
      </c>
      <c r="G85" s="37" t="s">
        <v>7</v>
      </c>
      <c r="H85" s="35" t="s">
        <v>21</v>
      </c>
      <c r="I85" s="37" t="s">
        <v>24</v>
      </c>
      <c r="J85" s="14" t="s">
        <v>20</v>
      </c>
    </row>
    <row r="86" spans="1:10" ht="21" x14ac:dyDescent="0.35">
      <c r="A86" s="34">
        <v>46013</v>
      </c>
      <c r="B86" s="35" t="s">
        <v>290</v>
      </c>
      <c r="C86" s="35" t="s">
        <v>37</v>
      </c>
      <c r="D86" s="35" t="s">
        <v>36</v>
      </c>
      <c r="E86" s="35" t="s">
        <v>275</v>
      </c>
      <c r="F86" s="36">
        <v>182</v>
      </c>
      <c r="G86" s="37" t="s">
        <v>7</v>
      </c>
      <c r="H86" s="35" t="s">
        <v>21</v>
      </c>
      <c r="I86" s="37" t="s">
        <v>252</v>
      </c>
      <c r="J86" s="14" t="s">
        <v>20</v>
      </c>
    </row>
    <row r="87" spans="1:10" ht="21" x14ac:dyDescent="0.35">
      <c r="A87" s="34">
        <v>46013</v>
      </c>
      <c r="B87" s="35" t="s">
        <v>385</v>
      </c>
      <c r="C87" s="35" t="s">
        <v>37</v>
      </c>
      <c r="D87" s="35" t="s">
        <v>36</v>
      </c>
      <c r="E87" s="35" t="s">
        <v>284</v>
      </c>
      <c r="F87" s="36">
        <v>214.68</v>
      </c>
      <c r="G87" s="37" t="s">
        <v>7</v>
      </c>
      <c r="H87" s="35" t="s">
        <v>21</v>
      </c>
      <c r="I87" s="37" t="s">
        <v>26</v>
      </c>
      <c r="J87" s="14" t="s">
        <v>20</v>
      </c>
    </row>
    <row r="88" spans="1:10" ht="21" x14ac:dyDescent="0.35">
      <c r="A88" s="34">
        <v>46014</v>
      </c>
      <c r="B88" s="35" t="s">
        <v>47</v>
      </c>
      <c r="C88" s="35" t="s">
        <v>37</v>
      </c>
      <c r="D88" s="35" t="s">
        <v>36</v>
      </c>
      <c r="E88" s="35" t="s">
        <v>275</v>
      </c>
      <c r="F88" s="36">
        <v>439.72</v>
      </c>
      <c r="G88" s="37" t="s">
        <v>7</v>
      </c>
      <c r="H88" s="35" t="s">
        <v>21</v>
      </c>
      <c r="I88" s="37" t="s">
        <v>257</v>
      </c>
      <c r="J88" s="14" t="s">
        <v>20</v>
      </c>
    </row>
    <row r="89" spans="1:10" s="14" customFormat="1" ht="21" x14ac:dyDescent="0.35">
      <c r="A89" s="34">
        <v>46013</v>
      </c>
      <c r="B89" s="35" t="s">
        <v>377</v>
      </c>
      <c r="C89" s="35" t="s">
        <v>40</v>
      </c>
      <c r="D89" s="35" t="s">
        <v>36</v>
      </c>
      <c r="E89" s="35"/>
      <c r="F89" s="36">
        <v>526.66</v>
      </c>
      <c r="G89" s="37" t="s">
        <v>7</v>
      </c>
      <c r="H89" s="35" t="s">
        <v>21</v>
      </c>
      <c r="I89" s="37" t="s">
        <v>9</v>
      </c>
      <c r="J89" s="14" t="s">
        <v>20</v>
      </c>
    </row>
    <row r="90" spans="1:10" s="14" customFormat="1" ht="21" x14ac:dyDescent="0.35">
      <c r="A90" s="34">
        <v>46013</v>
      </c>
      <c r="B90" s="35" t="s">
        <v>402</v>
      </c>
      <c r="C90" s="35" t="s">
        <v>40</v>
      </c>
      <c r="D90" s="35" t="s">
        <v>36</v>
      </c>
      <c r="E90" s="35"/>
      <c r="F90" s="36">
        <v>400</v>
      </c>
      <c r="G90" s="37" t="s">
        <v>7</v>
      </c>
      <c r="H90" s="35" t="s">
        <v>21</v>
      </c>
      <c r="I90" s="37" t="s">
        <v>28</v>
      </c>
      <c r="J90" s="14" t="s">
        <v>20</v>
      </c>
    </row>
    <row r="91" spans="1:10" s="14" customFormat="1" ht="21" x14ac:dyDescent="0.35">
      <c r="A91" s="34">
        <v>46014</v>
      </c>
      <c r="B91" s="35" t="s">
        <v>448</v>
      </c>
      <c r="C91" s="35" t="s">
        <v>37</v>
      </c>
      <c r="D91" s="35" t="s">
        <v>36</v>
      </c>
      <c r="E91" s="35" t="s">
        <v>278</v>
      </c>
      <c r="F91" s="36">
        <v>800</v>
      </c>
      <c r="G91" s="37" t="s">
        <v>7</v>
      </c>
      <c r="H91" s="35" t="s">
        <v>19</v>
      </c>
      <c r="I91" s="37" t="s">
        <v>16</v>
      </c>
      <c r="J91" s="14" t="s">
        <v>20</v>
      </c>
    </row>
    <row r="92" spans="1:10" ht="21" x14ac:dyDescent="0.35">
      <c r="A92" s="34">
        <v>46015</v>
      </c>
      <c r="B92" s="35" t="s">
        <v>47</v>
      </c>
      <c r="C92" s="35" t="s">
        <v>37</v>
      </c>
      <c r="D92" s="35" t="s">
        <v>36</v>
      </c>
      <c r="E92" s="35" t="s">
        <v>281</v>
      </c>
      <c r="F92" s="36">
        <v>805.5</v>
      </c>
      <c r="G92" s="37" t="s">
        <v>7</v>
      </c>
      <c r="H92" s="35" t="s">
        <v>23</v>
      </c>
      <c r="I92" s="37" t="s">
        <v>10</v>
      </c>
      <c r="J92" s="14" t="s">
        <v>20</v>
      </c>
    </row>
    <row r="93" spans="1:10" ht="21" x14ac:dyDescent="0.35">
      <c r="A93" s="34">
        <v>46015</v>
      </c>
      <c r="B93" s="35" t="s">
        <v>47</v>
      </c>
      <c r="C93" s="35" t="s">
        <v>37</v>
      </c>
      <c r="D93" s="35" t="s">
        <v>36</v>
      </c>
      <c r="E93" s="35" t="s">
        <v>279</v>
      </c>
      <c r="F93" s="36">
        <v>2388.25</v>
      </c>
      <c r="G93" s="37" t="s">
        <v>7</v>
      </c>
      <c r="H93" s="35" t="s">
        <v>23</v>
      </c>
      <c r="I93" s="37" t="s">
        <v>11</v>
      </c>
      <c r="J93" s="14" t="s">
        <v>20</v>
      </c>
    </row>
    <row r="94" spans="1:10" s="14" customFormat="1" ht="21" x14ac:dyDescent="0.35">
      <c r="A94" s="34">
        <v>46015</v>
      </c>
      <c r="B94" s="35" t="s">
        <v>310</v>
      </c>
      <c r="C94" s="35" t="s">
        <v>61</v>
      </c>
      <c r="D94" s="35" t="s">
        <v>36</v>
      </c>
      <c r="E94" s="35" t="s">
        <v>282</v>
      </c>
      <c r="F94" s="36">
        <v>2050</v>
      </c>
      <c r="G94" s="37" t="s">
        <v>7</v>
      </c>
      <c r="H94" s="35" t="s">
        <v>23</v>
      </c>
      <c r="I94" s="37" t="s">
        <v>22</v>
      </c>
      <c r="J94" s="14" t="s">
        <v>20</v>
      </c>
    </row>
    <row r="95" spans="1:10" s="14" customFormat="1" ht="21" x14ac:dyDescent="0.35">
      <c r="A95" s="34">
        <v>46017</v>
      </c>
      <c r="B95" s="35" t="s">
        <v>47</v>
      </c>
      <c r="C95" s="35" t="s">
        <v>37</v>
      </c>
      <c r="D95" s="35" t="s">
        <v>36</v>
      </c>
      <c r="E95" s="35" t="s">
        <v>294</v>
      </c>
      <c r="F95" s="36">
        <v>253.33</v>
      </c>
      <c r="G95" s="37" t="s">
        <v>7</v>
      </c>
      <c r="H95" s="35" t="s">
        <v>21</v>
      </c>
      <c r="I95" s="37" t="s">
        <v>11</v>
      </c>
      <c r="J95" s="14" t="s">
        <v>20</v>
      </c>
    </row>
    <row r="96" spans="1:10" ht="21" x14ac:dyDescent="0.35">
      <c r="A96" s="34">
        <v>46017</v>
      </c>
      <c r="B96" s="35" t="s">
        <v>47</v>
      </c>
      <c r="C96" s="35" t="s">
        <v>37</v>
      </c>
      <c r="D96" s="35" t="s">
        <v>36</v>
      </c>
      <c r="E96" s="35" t="s">
        <v>275</v>
      </c>
      <c r="F96" s="36">
        <v>347.75</v>
      </c>
      <c r="G96" s="37" t="s">
        <v>7</v>
      </c>
      <c r="H96" s="35" t="s">
        <v>21</v>
      </c>
      <c r="I96" s="37" t="s">
        <v>387</v>
      </c>
      <c r="J96" s="14" t="s">
        <v>20</v>
      </c>
    </row>
    <row r="97" spans="1:10" ht="21" x14ac:dyDescent="0.35">
      <c r="A97" s="34">
        <v>46017</v>
      </c>
      <c r="B97" s="35" t="s">
        <v>47</v>
      </c>
      <c r="C97" s="35" t="s">
        <v>37</v>
      </c>
      <c r="D97" s="35" t="s">
        <v>36</v>
      </c>
      <c r="E97" s="35" t="s">
        <v>285</v>
      </c>
      <c r="F97" s="36">
        <v>387.07</v>
      </c>
      <c r="G97" s="37" t="s">
        <v>7</v>
      </c>
      <c r="H97" s="35" t="s">
        <v>21</v>
      </c>
      <c r="I97" s="37" t="s">
        <v>297</v>
      </c>
      <c r="J97" s="14" t="s">
        <v>20</v>
      </c>
    </row>
    <row r="98" spans="1:10" s="14" customFormat="1" ht="21" x14ac:dyDescent="0.35">
      <c r="A98" s="34">
        <v>46017</v>
      </c>
      <c r="B98" s="35" t="s">
        <v>47</v>
      </c>
      <c r="C98" s="35" t="s">
        <v>37</v>
      </c>
      <c r="D98" s="35" t="s">
        <v>36</v>
      </c>
      <c r="E98" s="35" t="s">
        <v>294</v>
      </c>
      <c r="F98" s="36">
        <v>359</v>
      </c>
      <c r="G98" s="37" t="s">
        <v>7</v>
      </c>
      <c r="H98" s="35" t="s">
        <v>21</v>
      </c>
      <c r="I98" s="37" t="s">
        <v>11</v>
      </c>
      <c r="J98" s="14" t="s">
        <v>20</v>
      </c>
    </row>
    <row r="99" spans="1:10" s="14" customFormat="1" ht="21" x14ac:dyDescent="0.35">
      <c r="A99" s="34">
        <v>46017</v>
      </c>
      <c r="B99" s="35" t="s">
        <v>428</v>
      </c>
      <c r="C99" s="35" t="s">
        <v>41</v>
      </c>
      <c r="D99" s="35" t="s">
        <v>36</v>
      </c>
      <c r="E99" s="35" t="s">
        <v>284</v>
      </c>
      <c r="F99" s="36">
        <v>2268.66</v>
      </c>
      <c r="G99" s="37" t="s">
        <v>7</v>
      </c>
      <c r="H99" s="35" t="s">
        <v>21</v>
      </c>
      <c r="I99" s="37" t="s">
        <v>43</v>
      </c>
      <c r="J99" s="14" t="s">
        <v>20</v>
      </c>
    </row>
    <row r="100" spans="1:10" s="14" customFormat="1" ht="21" x14ac:dyDescent="0.35">
      <c r="A100" s="34">
        <v>46017</v>
      </c>
      <c r="B100" s="35" t="s">
        <v>448</v>
      </c>
      <c r="C100" s="35" t="s">
        <v>37</v>
      </c>
      <c r="D100" s="35" t="s">
        <v>36</v>
      </c>
      <c r="E100" s="35" t="s">
        <v>278</v>
      </c>
      <c r="F100" s="36">
        <v>1000</v>
      </c>
      <c r="G100" s="37" t="s">
        <v>7</v>
      </c>
      <c r="H100" s="35" t="s">
        <v>62</v>
      </c>
      <c r="I100" s="37" t="s">
        <v>297</v>
      </c>
      <c r="J100" s="14" t="s">
        <v>20</v>
      </c>
    </row>
    <row r="101" spans="1:10" s="14" customFormat="1" ht="21" x14ac:dyDescent="0.35">
      <c r="A101" s="34">
        <v>46018</v>
      </c>
      <c r="B101" s="35" t="s">
        <v>446</v>
      </c>
      <c r="C101" s="35" t="s">
        <v>37</v>
      </c>
      <c r="D101" s="35" t="s">
        <v>36</v>
      </c>
      <c r="E101" s="35" t="s">
        <v>278</v>
      </c>
      <c r="F101" s="36">
        <v>269</v>
      </c>
      <c r="G101" s="37" t="s">
        <v>7</v>
      </c>
      <c r="H101" s="35" t="s">
        <v>23</v>
      </c>
      <c r="I101" s="37" t="s">
        <v>297</v>
      </c>
      <c r="J101" s="14" t="s">
        <v>20</v>
      </c>
    </row>
    <row r="102" spans="1:10" s="14" customFormat="1" ht="21" x14ac:dyDescent="0.35">
      <c r="A102" s="34">
        <v>46020</v>
      </c>
      <c r="B102" s="35" t="s">
        <v>450</v>
      </c>
      <c r="C102" s="35" t="s">
        <v>37</v>
      </c>
      <c r="D102" s="35" t="s">
        <v>36</v>
      </c>
      <c r="E102" s="35" t="s">
        <v>278</v>
      </c>
      <c r="F102" s="36">
        <v>214</v>
      </c>
      <c r="G102" s="37" t="s">
        <v>7</v>
      </c>
      <c r="H102" s="35" t="s">
        <v>23</v>
      </c>
      <c r="I102" s="37" t="s">
        <v>50</v>
      </c>
      <c r="J102" s="14" t="s">
        <v>20</v>
      </c>
    </row>
    <row r="103" spans="1:10" s="14" customFormat="1" ht="21" x14ac:dyDescent="0.35">
      <c r="A103" s="34">
        <v>46020</v>
      </c>
      <c r="B103" s="35" t="s">
        <v>451</v>
      </c>
      <c r="C103" s="35" t="s">
        <v>37</v>
      </c>
      <c r="D103" s="35" t="s">
        <v>36</v>
      </c>
      <c r="E103" s="35" t="s">
        <v>288</v>
      </c>
      <c r="F103" s="36">
        <v>475</v>
      </c>
      <c r="G103" s="37" t="s">
        <v>7</v>
      </c>
      <c r="H103" s="35" t="s">
        <v>21</v>
      </c>
      <c r="I103" s="37" t="s">
        <v>297</v>
      </c>
      <c r="J103" s="14" t="s">
        <v>20</v>
      </c>
    </row>
    <row r="104" spans="1:10" s="14" customFormat="1" ht="21" x14ac:dyDescent="0.35">
      <c r="A104" s="34">
        <v>46020</v>
      </c>
      <c r="B104" s="35" t="s">
        <v>386</v>
      </c>
      <c r="C104" s="35" t="s">
        <v>37</v>
      </c>
      <c r="D104" s="35" t="s">
        <v>36</v>
      </c>
      <c r="E104" s="35" t="s">
        <v>288</v>
      </c>
      <c r="F104" s="36">
        <v>691.01</v>
      </c>
      <c r="G104" s="37" t="s">
        <v>7</v>
      </c>
      <c r="H104" s="35" t="s">
        <v>21</v>
      </c>
      <c r="I104" s="37" t="s">
        <v>10</v>
      </c>
      <c r="J104" s="14" t="s">
        <v>20</v>
      </c>
    </row>
    <row r="105" spans="1:10" ht="21" x14ac:dyDescent="0.35">
      <c r="A105" s="34">
        <v>46021</v>
      </c>
      <c r="B105" s="35" t="s">
        <v>274</v>
      </c>
      <c r="C105" s="35" t="s">
        <v>37</v>
      </c>
      <c r="D105" s="35" t="s">
        <v>36</v>
      </c>
      <c r="E105" s="35" t="s">
        <v>284</v>
      </c>
      <c r="F105" s="36">
        <v>622</v>
      </c>
      <c r="G105" s="37" t="s">
        <v>7</v>
      </c>
      <c r="H105" s="35" t="s">
        <v>21</v>
      </c>
      <c r="I105" s="37" t="s">
        <v>28</v>
      </c>
      <c r="J105" s="14" t="s">
        <v>20</v>
      </c>
    </row>
    <row r="106" spans="1:10" s="14" customFormat="1" ht="21" x14ac:dyDescent="0.35">
      <c r="A106" s="34">
        <v>46021</v>
      </c>
      <c r="B106" s="35" t="s">
        <v>399</v>
      </c>
      <c r="C106" s="35" t="s">
        <v>61</v>
      </c>
      <c r="D106" s="35" t="s">
        <v>36</v>
      </c>
      <c r="E106" s="35" t="s">
        <v>276</v>
      </c>
      <c r="F106" s="36">
        <v>1500</v>
      </c>
      <c r="G106" s="37" t="s">
        <v>7</v>
      </c>
      <c r="H106" s="35" t="s">
        <v>21</v>
      </c>
      <c r="I106" s="37" t="s">
        <v>24</v>
      </c>
      <c r="J106" s="14" t="s">
        <v>20</v>
      </c>
    </row>
    <row r="107" spans="1:10" ht="21" x14ac:dyDescent="0.35">
      <c r="A107" s="34">
        <v>46021</v>
      </c>
      <c r="B107" s="35" t="s">
        <v>383</v>
      </c>
      <c r="C107" s="35" t="s">
        <v>41</v>
      </c>
      <c r="D107" s="35" t="s">
        <v>36</v>
      </c>
      <c r="E107" s="35" t="s">
        <v>276</v>
      </c>
      <c r="F107" s="36">
        <v>1150</v>
      </c>
      <c r="G107" s="37" t="s">
        <v>7</v>
      </c>
      <c r="H107" s="35" t="s">
        <v>21</v>
      </c>
      <c r="I107" s="37" t="s">
        <v>13</v>
      </c>
      <c r="J107" s="14" t="s">
        <v>20</v>
      </c>
    </row>
    <row r="108" spans="1:10" ht="21" x14ac:dyDescent="0.35">
      <c r="A108" s="34">
        <v>46021</v>
      </c>
      <c r="B108" s="35" t="s">
        <v>453</v>
      </c>
      <c r="C108" s="35" t="s">
        <v>37</v>
      </c>
      <c r="D108" s="35" t="s">
        <v>36</v>
      </c>
      <c r="E108" s="35" t="s">
        <v>288</v>
      </c>
      <c r="F108" s="36">
        <v>270</v>
      </c>
      <c r="G108" s="37" t="s">
        <v>7</v>
      </c>
      <c r="H108" s="37" t="s">
        <v>21</v>
      </c>
      <c r="I108" s="37" t="s">
        <v>297</v>
      </c>
      <c r="J108" s="14" t="s">
        <v>20</v>
      </c>
    </row>
    <row r="109" spans="1:10" ht="21" x14ac:dyDescent="0.35">
      <c r="A109" s="34">
        <v>46021</v>
      </c>
      <c r="B109" s="35" t="s">
        <v>47</v>
      </c>
      <c r="C109" s="35" t="s">
        <v>37</v>
      </c>
      <c r="D109" s="35" t="s">
        <v>36</v>
      </c>
      <c r="E109" s="35" t="s">
        <v>282</v>
      </c>
      <c r="F109" s="36">
        <v>279.75</v>
      </c>
      <c r="G109" s="37" t="s">
        <v>7</v>
      </c>
      <c r="H109" s="37" t="s">
        <v>21</v>
      </c>
      <c r="I109" s="37" t="s">
        <v>10</v>
      </c>
      <c r="J109" s="14" t="s">
        <v>20</v>
      </c>
    </row>
    <row r="110" spans="1:10" ht="21" x14ac:dyDescent="0.35">
      <c r="A110" s="34"/>
      <c r="B110" s="35"/>
      <c r="C110" s="35"/>
      <c r="D110" s="35"/>
      <c r="E110" s="35"/>
      <c r="F110" s="36"/>
      <c r="G110" s="37"/>
      <c r="H110" s="37"/>
      <c r="I110" s="37"/>
      <c r="J110" s="14"/>
    </row>
    <row r="111" spans="1:10" ht="21" x14ac:dyDescent="0.35">
      <c r="A111" s="37"/>
      <c r="B111" s="37" t="s">
        <v>8</v>
      </c>
      <c r="C111" s="37"/>
      <c r="D111" s="37"/>
      <c r="E111" s="35"/>
      <c r="F111" s="36">
        <f>SUM(F34:F109)</f>
        <v>56114.380000000012</v>
      </c>
      <c r="G111" s="37"/>
      <c r="H111" s="37"/>
      <c r="I111" s="37"/>
      <c r="J111" s="14"/>
    </row>
  </sheetData>
  <mergeCells count="2">
    <mergeCell ref="A32:H32"/>
    <mergeCell ref="A1:G1"/>
  </mergeCells>
  <conditionalFormatting sqref="G12:H14 G93:H98 G16:H21 G26:H31 G37:H46 G48:H48 G50:H54 G56:H66 G23:H23 G105:H110 G68:H91">
    <cfRule type="containsText" dxfId="65" priority="373" operator="containsText" text="ATRASADO">
      <formula>NOT(ISERROR(SEARCH("ATRASADO",G12)))</formula>
    </cfRule>
    <cfRule type="containsText" dxfId="64" priority="374" operator="containsText" text="A PAGAR">
      <formula>NOT(ISERROR(SEARCH("A PAGAR",G12)))</formula>
    </cfRule>
    <cfRule type="containsText" dxfId="63" priority="375" operator="containsText" text="PAGO">
      <formula>NOT(ISERROR(SEARCH("PAGO",G12)))</formula>
    </cfRule>
  </conditionalFormatting>
  <conditionalFormatting sqref="G34:G35">
    <cfRule type="containsText" dxfId="62" priority="325" operator="containsText" text="ATRASADO">
      <formula>NOT(ISERROR(SEARCH("ATRASADO",G34)))</formula>
    </cfRule>
    <cfRule type="containsText" dxfId="61" priority="326" operator="containsText" text="A PAGAR">
      <formula>NOT(ISERROR(SEARCH("A PAGAR",G34)))</formula>
    </cfRule>
    <cfRule type="containsText" dxfId="60" priority="327" operator="containsText" text="PAGO">
      <formula>NOT(ISERROR(SEARCH("PAGO",G34)))</formula>
    </cfRule>
  </conditionalFormatting>
  <conditionalFormatting sqref="G111:H111">
    <cfRule type="containsText" dxfId="59" priority="322" operator="containsText" text="ATRASADO">
      <formula>NOT(ISERROR(SEARCH("ATRASADO",G111)))</formula>
    </cfRule>
    <cfRule type="containsText" dxfId="58" priority="323" operator="containsText" text="A PAGAR">
      <formula>NOT(ISERROR(SEARCH("A PAGAR",G111)))</formula>
    </cfRule>
    <cfRule type="containsText" dxfId="57" priority="324" operator="containsText" text="PAGO">
      <formula>NOT(ISERROR(SEARCH("PAGO",G111)))</formula>
    </cfRule>
  </conditionalFormatting>
  <conditionalFormatting sqref="G5:H5">
    <cfRule type="containsText" dxfId="56" priority="313" operator="containsText" text="ATRASADO">
      <formula>NOT(ISERROR(SEARCH("ATRASADO",G5)))</formula>
    </cfRule>
    <cfRule type="containsText" dxfId="55" priority="314" operator="containsText" text="A PAGAR">
      <formula>NOT(ISERROR(SEARCH("A PAGAR",G5)))</formula>
    </cfRule>
    <cfRule type="containsText" dxfId="54" priority="315" operator="containsText" text="PAGO">
      <formula>NOT(ISERROR(SEARCH("PAGO",G5)))</formula>
    </cfRule>
  </conditionalFormatting>
  <conditionalFormatting sqref="G15:H15">
    <cfRule type="containsText" dxfId="53" priority="304" operator="containsText" text="ATRASADO">
      <formula>NOT(ISERROR(SEARCH("ATRASADO",G15)))</formula>
    </cfRule>
    <cfRule type="containsText" dxfId="52" priority="305" operator="containsText" text="A PAGAR">
      <formula>NOT(ISERROR(SEARCH("A PAGAR",G15)))</formula>
    </cfRule>
    <cfRule type="containsText" dxfId="51" priority="306" operator="containsText" text="PAGO">
      <formula>NOT(ISERROR(SEARCH("PAGO",G15)))</formula>
    </cfRule>
  </conditionalFormatting>
  <conditionalFormatting sqref="G49:H49">
    <cfRule type="containsText" dxfId="50" priority="298" operator="containsText" text="ATRASADO">
      <formula>NOT(ISERROR(SEARCH("ATRASADO",G49)))</formula>
    </cfRule>
    <cfRule type="containsText" dxfId="49" priority="299" operator="containsText" text="A PAGAR">
      <formula>NOT(ISERROR(SEARCH("A PAGAR",G49)))</formula>
    </cfRule>
    <cfRule type="containsText" dxfId="48" priority="300" operator="containsText" text="PAGO">
      <formula>NOT(ISERROR(SEARCH("PAGO",G49)))</formula>
    </cfRule>
  </conditionalFormatting>
  <conditionalFormatting sqref="G6:H7">
    <cfRule type="containsText" dxfId="47" priority="277" operator="containsText" text="ATRASADO">
      <formula>NOT(ISERROR(SEARCH("ATRASADO",G6)))</formula>
    </cfRule>
    <cfRule type="containsText" dxfId="46" priority="278" operator="containsText" text="A PAGAR">
      <formula>NOT(ISERROR(SEARCH("A PAGAR",G6)))</formula>
    </cfRule>
    <cfRule type="containsText" dxfId="45" priority="279" operator="containsText" text="PAGO">
      <formula>NOT(ISERROR(SEARCH("PAGO",G6)))</formula>
    </cfRule>
  </conditionalFormatting>
  <conditionalFormatting sqref="G8:H10">
    <cfRule type="containsText" dxfId="44" priority="274" operator="containsText" text="ATRASADO">
      <formula>NOT(ISERROR(SEARCH("ATRASADO",G8)))</formula>
    </cfRule>
    <cfRule type="containsText" dxfId="43" priority="275" operator="containsText" text="A PAGAR">
      <formula>NOT(ISERROR(SEARCH("A PAGAR",G8)))</formula>
    </cfRule>
    <cfRule type="containsText" dxfId="42" priority="276" operator="containsText" text="PAGO">
      <formula>NOT(ISERROR(SEARCH("PAGO",G8)))</formula>
    </cfRule>
  </conditionalFormatting>
  <conditionalFormatting sqref="G67:H67">
    <cfRule type="containsText" dxfId="41" priority="271" operator="containsText" text="ATRASADO">
      <formula>NOT(ISERROR(SEARCH("ATRASADO",G67)))</formula>
    </cfRule>
    <cfRule type="containsText" dxfId="40" priority="272" operator="containsText" text="A PAGAR">
      <formula>NOT(ISERROR(SEARCH("A PAGAR",G67)))</formula>
    </cfRule>
    <cfRule type="containsText" dxfId="39" priority="273" operator="containsText" text="PAGO">
      <formula>NOT(ISERROR(SEARCH("PAGO",G67)))</formula>
    </cfRule>
  </conditionalFormatting>
  <conditionalFormatting sqref="G92:H92">
    <cfRule type="containsText" dxfId="38" priority="265" operator="containsText" text="ATRASADO">
      <formula>NOT(ISERROR(SEARCH("ATRASADO",G92)))</formula>
    </cfRule>
    <cfRule type="containsText" dxfId="37" priority="266" operator="containsText" text="A PAGAR">
      <formula>NOT(ISERROR(SEARCH("A PAGAR",G92)))</formula>
    </cfRule>
    <cfRule type="containsText" dxfId="36" priority="267" operator="containsText" text="PAGO">
      <formula>NOT(ISERROR(SEARCH("PAGO",G92)))</formula>
    </cfRule>
  </conditionalFormatting>
  <conditionalFormatting sqref="G3:H3">
    <cfRule type="containsText" dxfId="35" priority="199" operator="containsText" text="ATRASADO">
      <formula>NOT(ISERROR(SEARCH("ATRASADO",G3)))</formula>
    </cfRule>
    <cfRule type="containsText" dxfId="34" priority="200" operator="containsText" text="A PAGAR">
      <formula>NOT(ISERROR(SEARCH("A PAGAR",G3)))</formula>
    </cfRule>
    <cfRule type="containsText" dxfId="33" priority="201" operator="containsText" text="PAGO">
      <formula>NOT(ISERROR(SEARCH("PAGO",G3)))</formula>
    </cfRule>
  </conditionalFormatting>
  <conditionalFormatting sqref="G24:H24">
    <cfRule type="containsText" dxfId="32" priority="118" operator="containsText" text="ATRASADO">
      <formula>NOT(ISERROR(SEARCH("ATRASADO",G24)))</formula>
    </cfRule>
    <cfRule type="containsText" dxfId="31" priority="119" operator="containsText" text="A PAGAR">
      <formula>NOT(ISERROR(SEARCH("A PAGAR",G24)))</formula>
    </cfRule>
    <cfRule type="containsText" dxfId="30" priority="120" operator="containsText" text="PAGO">
      <formula>NOT(ISERROR(SEARCH("PAGO",G24)))</formula>
    </cfRule>
  </conditionalFormatting>
  <conditionalFormatting sqref="G11:H11">
    <cfRule type="containsText" dxfId="29" priority="121" operator="containsText" text="ATRASADO">
      <formula>NOT(ISERROR(SEARCH("ATRASADO",G11)))</formula>
    </cfRule>
    <cfRule type="containsText" dxfId="28" priority="122" operator="containsText" text="A PAGAR">
      <formula>NOT(ISERROR(SEARCH("A PAGAR",G11)))</formula>
    </cfRule>
    <cfRule type="containsText" dxfId="27" priority="123" operator="containsText" text="PAGO">
      <formula>NOT(ISERROR(SEARCH("PAGO",G11)))</formula>
    </cfRule>
  </conditionalFormatting>
  <conditionalFormatting sqref="G4:H4">
    <cfRule type="containsText" dxfId="26" priority="124" operator="containsText" text="ATRASADO">
      <formula>NOT(ISERROR(SEARCH("ATRASADO",G4)))</formula>
    </cfRule>
    <cfRule type="containsText" dxfId="25" priority="125" operator="containsText" text="A PAGAR">
      <formula>NOT(ISERROR(SEARCH("A PAGAR",G4)))</formula>
    </cfRule>
    <cfRule type="containsText" dxfId="24" priority="126" operator="containsText" text="PAGO">
      <formula>NOT(ISERROR(SEARCH("PAGO",G4)))</formula>
    </cfRule>
  </conditionalFormatting>
  <conditionalFormatting sqref="G25:H25">
    <cfRule type="containsText" dxfId="23" priority="115" operator="containsText" text="ATRASADO">
      <formula>NOT(ISERROR(SEARCH("ATRASADO",G25)))</formula>
    </cfRule>
    <cfRule type="containsText" dxfId="22" priority="116" operator="containsText" text="A PAGAR">
      <formula>NOT(ISERROR(SEARCH("A PAGAR",G25)))</formula>
    </cfRule>
    <cfRule type="containsText" dxfId="21" priority="117" operator="containsText" text="PAGO">
      <formula>NOT(ISERROR(SEARCH("PAGO",G25)))</formula>
    </cfRule>
  </conditionalFormatting>
  <conditionalFormatting sqref="G37:G39">
    <cfRule type="containsText" dxfId="20" priority="97" operator="containsText" text="ATRASADO">
      <formula>NOT(ISERROR(SEARCH("ATRASADO",G37)))</formula>
    </cfRule>
    <cfRule type="containsText" dxfId="19" priority="98" operator="containsText" text="A PAGAR">
      <formula>NOT(ISERROR(SEARCH("A PAGAR",G37)))</formula>
    </cfRule>
    <cfRule type="containsText" dxfId="18" priority="99" operator="containsText" text="PAGO">
      <formula>NOT(ISERROR(SEARCH("PAGO",G37)))</formula>
    </cfRule>
  </conditionalFormatting>
  <conditionalFormatting sqref="G36">
    <cfRule type="containsText" dxfId="17" priority="94" operator="containsText" text="ATRASADO">
      <formula>NOT(ISERROR(SEARCH("ATRASADO",G36)))</formula>
    </cfRule>
    <cfRule type="containsText" dxfId="16" priority="95" operator="containsText" text="A PAGAR">
      <formula>NOT(ISERROR(SEARCH("A PAGAR",G36)))</formula>
    </cfRule>
    <cfRule type="containsText" dxfId="15" priority="96" operator="containsText" text="PAGO">
      <formula>NOT(ISERROR(SEARCH("PAGO",G36)))</formula>
    </cfRule>
  </conditionalFormatting>
  <conditionalFormatting sqref="G47:H47">
    <cfRule type="containsText" dxfId="14" priority="61" operator="containsText" text="ATRASADO">
      <formula>NOT(ISERROR(SEARCH("ATRASADO",G47)))</formula>
    </cfRule>
    <cfRule type="containsText" dxfId="13" priority="62" operator="containsText" text="A PAGAR">
      <formula>NOT(ISERROR(SEARCH("A PAGAR",G47)))</formula>
    </cfRule>
    <cfRule type="containsText" dxfId="12" priority="63" operator="containsText" text="PAGO">
      <formula>NOT(ISERROR(SEARCH("PAGO",G47)))</formula>
    </cfRule>
  </conditionalFormatting>
  <conditionalFormatting sqref="G55:H55">
    <cfRule type="containsText" dxfId="11" priority="55" operator="containsText" text="ATRASADO">
      <formula>NOT(ISERROR(SEARCH("ATRASADO",G55)))</formula>
    </cfRule>
    <cfRule type="containsText" dxfId="10" priority="56" operator="containsText" text="A PAGAR">
      <formula>NOT(ISERROR(SEARCH("A PAGAR",G55)))</formula>
    </cfRule>
    <cfRule type="containsText" dxfId="9" priority="57" operator="containsText" text="PAGO">
      <formula>NOT(ISERROR(SEARCH("PAGO",G55)))</formula>
    </cfRule>
  </conditionalFormatting>
  <conditionalFormatting sqref="G22:H22">
    <cfRule type="containsText" dxfId="8" priority="40" operator="containsText" text="ATRASADO">
      <formula>NOT(ISERROR(SEARCH("ATRASADO",G22)))</formula>
    </cfRule>
    <cfRule type="containsText" dxfId="7" priority="41" operator="containsText" text="A PAGAR">
      <formula>NOT(ISERROR(SEARCH("A PAGAR",G22)))</formula>
    </cfRule>
    <cfRule type="containsText" dxfId="6" priority="42" operator="containsText" text="PAGO">
      <formula>NOT(ISERROR(SEARCH("PAGO",G22)))</formula>
    </cfRule>
  </conditionalFormatting>
  <conditionalFormatting sqref="G99:H99">
    <cfRule type="containsText" dxfId="5" priority="13" operator="containsText" text="ATRASADO">
      <formula>NOT(ISERROR(SEARCH("ATRASADO",G99)))</formula>
    </cfRule>
    <cfRule type="containsText" dxfId="4" priority="14" operator="containsText" text="A PAGAR">
      <formula>NOT(ISERROR(SEARCH("A PAGAR",G99)))</formula>
    </cfRule>
    <cfRule type="containsText" dxfId="3" priority="15" operator="containsText" text="PAGO">
      <formula>NOT(ISERROR(SEARCH("PAGO",G99)))</formula>
    </cfRule>
  </conditionalFormatting>
  <conditionalFormatting sqref="G100:H104">
    <cfRule type="containsText" dxfId="2" priority="7" operator="containsText" text="ATRASADO">
      <formula>NOT(ISERROR(SEARCH("ATRASADO",G100)))</formula>
    </cfRule>
    <cfRule type="containsText" dxfId="1" priority="8" operator="containsText" text="A PAGAR">
      <formula>NOT(ISERROR(SEARCH("A PAGAR",G100)))</formula>
    </cfRule>
    <cfRule type="containsText" dxfId="0" priority="9" operator="containsText" text="PAGO">
      <formula>NOT(ISERROR(SEARCH("PAGO",G100)))</formula>
    </cfRule>
  </conditionalFormatting>
  <pageMargins left="0.511811024" right="0.511811024" top="0.78740157499999996" bottom="0.78740157499999996" header="0.31496062000000002" footer="0.31496062000000002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ago</vt:lpstr>
      <vt:lpstr>SET</vt:lpstr>
      <vt:lpstr>OUT</vt:lpstr>
      <vt:lpstr>NOV</vt:lpstr>
      <vt:lpstr>DEZ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E-J-G</dc:creator>
  <cp:lastModifiedBy>usuario</cp:lastModifiedBy>
  <cp:lastPrinted>2025-12-09T17:25:09Z</cp:lastPrinted>
  <dcterms:created xsi:type="dcterms:W3CDTF">2025-01-02T17:43:13Z</dcterms:created>
  <dcterms:modified xsi:type="dcterms:W3CDTF">2026-01-08T16:18:11Z</dcterms:modified>
</cp:coreProperties>
</file>